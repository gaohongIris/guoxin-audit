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codeName="ThisWorkbook"/>
  <mc:AlternateContent xmlns:mc="http://schemas.openxmlformats.org/markup-compatibility/2006">
    <mc:Choice Requires="x15">
      <x15ac:absPath xmlns:x15ac="http://schemas.microsoft.com/office/spreadsheetml/2010/11/ac" url="/Users/junxu/Documents/yonyou/B-部门工作/2026/C-产品/"/>
    </mc:Choice>
  </mc:AlternateContent>
  <xr:revisionPtr revIDLastSave="0" documentId="13_ncr:1_{32E96AEC-4CEC-BD44-93BA-3C156055D45F}" xr6:coauthVersionLast="47" xr6:coauthVersionMax="47" xr10:uidLastSave="{00000000-0000-0000-0000-000000000000}"/>
  <bookViews>
    <workbookView xWindow="0" yWindow="660" windowWidth="34560" windowHeight="20560" tabRatio="790" activeTab="2" xr2:uid="{00000000-000D-0000-FFFF-FFFF00000000}"/>
  </bookViews>
  <sheets>
    <sheet name="财务指标" sheetId="21" r:id="rId1"/>
    <sheet name="资金管理" sheetId="22" r:id="rId2"/>
    <sheet name="司库" sheetId="59" r:id="rId3"/>
    <sheet name="投资管理" sheetId="26" r:id="rId4"/>
    <sheet name="经营管理" sheetId="27" r:id="rId5"/>
    <sheet name="薪酬管理" sheetId="28" r:id="rId6"/>
    <sheet name="预算管理" sheetId="32" r:id="rId7"/>
    <sheet name="证券行业" sheetId="3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34" l="1"/>
  <c r="A48" i="34"/>
  <c r="A47" i="34"/>
  <c r="A46" i="34"/>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6" i="34"/>
  <c r="A5" i="34"/>
  <c r="A4" i="34"/>
  <c r="A3" i="34"/>
  <c r="A44"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7" i="32"/>
  <c r="A16" i="32"/>
  <c r="A15" i="32"/>
  <c r="A14" i="32"/>
  <c r="A13" i="32"/>
  <c r="A12" i="32"/>
  <c r="A11" i="32"/>
  <c r="A10" i="32"/>
  <c r="A9" i="32"/>
  <c r="A8" i="32"/>
  <c r="A7" i="32"/>
  <c r="A6" i="32"/>
  <c r="A5" i="32"/>
  <c r="A4" i="32"/>
  <c r="A3" i="32"/>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 i="27"/>
  <c r="A4" i="27"/>
  <c r="A3" i="27"/>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5" i="26"/>
  <c r="A4" i="26"/>
  <c r="A3" i="26"/>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A6" i="59"/>
  <c r="A5" i="59"/>
  <c r="A4" i="59"/>
  <c r="A3" i="59"/>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5" i="21"/>
  <c r="A4" i="21"/>
  <c r="A3" i="21"/>
</calcChain>
</file>

<file path=xl/sharedStrings.xml><?xml version="1.0" encoding="utf-8"?>
<sst xmlns="http://schemas.openxmlformats.org/spreadsheetml/2006/main" count="901" uniqueCount="698">
  <si>
    <t>序号</t>
  </si>
  <si>
    <t>投资管理</t>
  </si>
  <si>
    <t>薪酬管理</t>
  </si>
  <si>
    <t>烟草</t>
  </si>
  <si>
    <t>返回</t>
  </si>
  <si>
    <t>类别</t>
  </si>
  <si>
    <t>名称</t>
  </si>
  <si>
    <t>说明</t>
  </si>
  <si>
    <t>来源</t>
  </si>
  <si>
    <t>瓮福 铁路</t>
  </si>
  <si>
    <t>通用</t>
  </si>
  <si>
    <t>指标类别</t>
  </si>
  <si>
    <t>指标名称</t>
  </si>
  <si>
    <t>指标公式</t>
  </si>
  <si>
    <t>指标说明</t>
  </si>
  <si>
    <t>风险应对（供参考）</t>
  </si>
  <si>
    <t>短期偿债能力</t>
  </si>
  <si>
    <t>速动比率</t>
  </si>
  <si>
    <t>（流动资产合计期末数-存货期末数）/流动负债合计期末数</t>
  </si>
  <si>
    <t>速动比率是指企业速动资产与流动负债的比率，用来衡量企业流动资产中可以立即变现用于偿还流动负债的能力。比率过低，企业的短期偿债风险较大；比率过高，企业在速动资产上占用资金过多，会增加企业投资的机会成本。</t>
  </si>
  <si>
    <t>保持合理的现金持有量，降低存货持有量</t>
  </si>
  <si>
    <t>流动比率</t>
  </si>
  <si>
    <t>流动资产合计期末数/流动负债合计期末数*100%</t>
  </si>
  <si>
    <t>流动比率是流动资产对流动负债的比率，用来衡量企业流动资产在短期债务到期以前，可以变为现金用于偿还负债的能力。一般说来，比率越高，说明企业资产的变现能力越强，短期偿债能力亦越强</t>
  </si>
  <si>
    <t>现金流动负债比率</t>
  </si>
  <si>
    <t>经营现金净流量本年累计发生数/流动负债期末数</t>
  </si>
  <si>
    <t>现金流动负债比率是企业一定时期的经营现金净流量同流动负债的比率，从现金流量的角度反映企业当期偿付短期负债的能力。该指标越大，表明企业越能按期偿还到期债务。</t>
  </si>
  <si>
    <t>加强企业管理，尽量减少不必要的支出，减少应收款项，增加经营活动现金净流量</t>
  </si>
  <si>
    <t>两金占流动资产的比重</t>
  </si>
  <si>
    <t>（应收账款期末数+存货期末数）/流动资产合计期末数</t>
  </si>
  <si>
    <t>两金占流动资产比重是指应收账款和存款的总和与总资产的比例。该指标过大，会影响企业的运行效率，加大运营风险。</t>
  </si>
  <si>
    <t>减少积压的存货，及时收回应收款</t>
  </si>
  <si>
    <t>长期偿债能力</t>
  </si>
  <si>
    <t>资产负债率</t>
  </si>
  <si>
    <t>负债合计期末数/资产合计期末数×100%</t>
  </si>
  <si>
    <t>资产负债率是期末负债与资产的百分比，用来衡量企业负债水平及风险程度。资产负债率保持在一定的合理区间范围为佳，行业不同，合理区间范围也有所不同，要依行业来判断是否合理。</t>
  </si>
  <si>
    <t>提高流动资产占企业总资产的比重，加速回收应收款，合理安排投资，降低固定资产占净资产的比重</t>
  </si>
  <si>
    <t>产权比率</t>
  </si>
  <si>
    <t>负债合计期末数÷所有者权益合计期末数×100%</t>
  </si>
  <si>
    <t>产权比率反映由债权人提供的负债资金与所有者提供的权益资金的相对关系，以及公司基本财务结构是否稳定。产权比率表示，股东每提供一元钱债权人愿意提供的借款额。在通货膨胀加剧时期，公司多借债可以把损失和风险转嫁给债权人；在经济繁荣时期，公司多借债可以获得额外利润。</t>
  </si>
  <si>
    <t>权益乘数</t>
  </si>
  <si>
    <t>资产合计期末数÷所有者权益合计期末数×100%</t>
  </si>
  <si>
    <t>权益乘数是指资产总额相对于股东权益的倍数。权益乘数越大表明所有者投入企业的资本占全部资产的比重越小，企业负债的程度越高；反之，该比率越小，表明所有者投入企业的资本占全部资产的比重越大，企业的负债程度越低，债权人权益受保护的程度越高。</t>
  </si>
  <si>
    <t>带息负债比率</t>
  </si>
  <si>
    <t>(短期借款期末数+长期借款期末数+应付债券期末数)/负债总额期末数×100%</t>
  </si>
  <si>
    <t>带息负债比率是指企业某一时点的带息负债总额与负债总额的比率，反映企业负债中带息负债的比重，在一定程度上体现了企业未来的偿债(尤其是偿还利息)压力</t>
  </si>
  <si>
    <t>带息负债增长率</t>
  </si>
  <si>
    <t>（当年带息负债-上年带息负债）/上年带息负债</t>
  </si>
  <si>
    <t>带息负债增长率是指当年带息负债相对于上一年的增长情况。</t>
  </si>
  <si>
    <t>应付款项增长率</t>
  </si>
  <si>
    <t>[（应付账款＋其他应付款）期末数－（应付账款＋其他应付款）期初数]/（应付账款＋其他应付款）期初数</t>
  </si>
  <si>
    <t>应付款项增长率是指应付款项本期增长情况</t>
  </si>
  <si>
    <t>已获利息倍数</t>
  </si>
  <si>
    <t>(利润总额+利息支出)本年累计发生/利息支出本年累计发生</t>
  </si>
  <si>
    <t>已获利息倍数反映了企业的经营收益支付债务利息的能力。这个比率越高说明偿债能力越强。使用时，应该与企业的经营活动现金流量结合起来。</t>
  </si>
  <si>
    <t>应该与企业的经营活动现金流量结合起来综合分析</t>
  </si>
  <si>
    <t>盈利能力状况</t>
  </si>
  <si>
    <t>EBITDA利润率</t>
  </si>
  <si>
    <t>(利润总额本年累计发生+利息支出本年累计发生期末数+累计折旧期末数+无形资产摊销期末数)/营业总收入本年累计发生</t>
  </si>
  <si>
    <t>EBITDA利润率表明企业每一元的销售收入为企业所带来的利息、税收和净利润以及收回的折旧和摊销费用，该指标越高，说明企业销售收入的盈利能力以及回收折旧和摊销的能力就越强。可以帮助投资者、管理层和分析师们更好地了解该企业运转的情况</t>
  </si>
  <si>
    <t>净资产收益率</t>
  </si>
  <si>
    <t>净利润本年累计数/[(所有者权益年初数+所有者权益期末数)/2]</t>
  </si>
  <si>
    <t>净资产收益率是净利润与平均股东权益的百分比，反映了公司对股东投入资本的利用效率。该指标值越高，说明投入资本创造利润的能力越强，带来的收益越高。</t>
  </si>
  <si>
    <t>扩大经营规模，节约成本，合理投资配置，加速资金周转  ，同时研究毛利率、净利润、周转速度、财务杠杆等关联指标进行综合分析</t>
  </si>
  <si>
    <t>总资产报酬率</t>
  </si>
  <si>
    <t>（利润总额本年累计数）/[(资产合计年初数+资产合计期末数)/2]</t>
  </si>
  <si>
    <t>总资产报酬率是指企业息税前利润与平均总资产之间的比率，用以评价企业运用全部资产的总体获利能力。该指标越高，表明企业投入产出的水平越好，资产运营越有效。</t>
  </si>
  <si>
    <t>节约成本，提供营业利润，提高资产周转率</t>
  </si>
  <si>
    <t>成本费用利润率</t>
  </si>
  <si>
    <t>利润总额本年累计数/(营业成本+税金及附加+销售费用+管理费用+研发费用+财务费用)本年累计数</t>
  </si>
  <si>
    <t>成本费用利润率是企业一定期间的利润总额与成本费用总额的比率，它反映企业付出一单位成本可以获取多少利润。该指标越大，说明企业付出单位成本的回报率越大，经营业务的盈利能力越强。</t>
  </si>
  <si>
    <t>降低成本费用，提高产品销售价格</t>
  </si>
  <si>
    <t>毛利率</t>
  </si>
  <si>
    <t>1-主营业务成本本年累计数/主营业务收入本年累计数×100%</t>
  </si>
  <si>
    <t>毛利率是毛利与销售收入的百分比</t>
  </si>
  <si>
    <t>人工成本利润率</t>
  </si>
  <si>
    <t>利润总额本年累计数/应付职工薪酬贷方累计发生额×100%</t>
  </si>
  <si>
    <t>人工成本利润率是指利润总额与人工成本总额的比率，反映了企业人工成本投入的获利水平</t>
  </si>
  <si>
    <t>人事费用率</t>
  </si>
  <si>
    <t>应付职工薪酬贷方累计发生额/主营业收入本年累计数×100%</t>
  </si>
  <si>
    <t>人事费用率是反映人工成本效益的相对指标，它的倒数表明每投入一个单位的人工成本能够实现多少销售收入</t>
  </si>
  <si>
    <t>盈余现金保障倍数</t>
  </si>
  <si>
    <t>经营现金净流量本年累计数/净利润本年累计数</t>
  </si>
  <si>
    <t>盈余现金保障倍数是指企业一定时期经营现金净流量同净利润的比值，反映了企业当期净利润中现金收益的保障程度，即如果净利润高，而经营活动现金净流量较低，则容易发现净利润存在水分，所以本指标常常被用来检查企业净利润的质量。该指标越大，表明利润的可靠性较高，具有一定的派现能力。</t>
  </si>
  <si>
    <t>加强企业管理，尽量减少不必要的支出，减少应收款项</t>
  </si>
  <si>
    <t>资本收益率</t>
  </si>
  <si>
    <t>净利润本年累计数/[(实收资本年初数+资本公积年初数+实收资本期末数+资本公积期末数)/2]</t>
  </si>
  <si>
    <t>资本收益率是指企业净利润与平均资本的比率，反映了企业运用自有资本获得收益的能力。该指标越高，说明企业自有投资的经济效益越好，投资者的风险越小。</t>
  </si>
  <si>
    <t>加强创新，降低成本费用，扩大市场规模，提高净利润</t>
  </si>
  <si>
    <t>成本费用占营业收入比重</t>
  </si>
  <si>
    <t>(营业成本+税金及附加+销售费用+管理费用+研发费用+财务费用)本年累计数/营业总收入本年累计数</t>
  </si>
  <si>
    <t>成本费用占营业总收入比重指标是指成本费用占营业总收入的比重。该指标越低，说明企业的成本费用控制能力越好，企业盈利能力越强。</t>
  </si>
  <si>
    <t>扩大营业收入，降低成本费用</t>
  </si>
  <si>
    <t>营业利润率</t>
  </si>
  <si>
    <t>营业利润本年累计数/营业总收入本年累计数</t>
  </si>
  <si>
    <t>营业利润率是指企业的营业利润与营业收入的比率，反映了在不考虑非营业成本的情况下，企业管理者通过经营获取利润的能力。该指标越高，说明企业商品销售额提供的营业利润越多，盈利能力越强。</t>
  </si>
  <si>
    <t>保障营业收入的前提下，加强对成本费用的控制</t>
  </si>
  <si>
    <t>主营业务成本率</t>
  </si>
  <si>
    <t>主营业务成本本年累计数/主营业务收入本年累计数</t>
  </si>
  <si>
    <t>主营业务成本率反映了主营业务收入中主营业务成本的占比，该比率越高，说明主营业务收入的盈利贡献越低。</t>
  </si>
  <si>
    <t>扩大收入，控制成本</t>
  </si>
  <si>
    <t>主营业务费用率</t>
  </si>
  <si>
    <t>(管理费用+销售费用+财务费用)本年累计数/主营业务收入本年累计数</t>
  </si>
  <si>
    <t>主营业务收入费用率反映企业费用在主营业务收入中所占的比重，主营业务收入费用率越高，表示企业经济效益越差</t>
  </si>
  <si>
    <t>扩大收入，控制费用</t>
  </si>
  <si>
    <t>成本费用率</t>
  </si>
  <si>
    <t>（主营业务成本+管理费用+销售费用+财务费用）本年累计数/主营业务收入本年累计数</t>
  </si>
  <si>
    <t>成本费用利润率反映了企业在当期发生的所有成本费用占营业收入的比率，</t>
  </si>
  <si>
    <t>企业加强内部管理，节约支出，提高经营质量</t>
  </si>
  <si>
    <t>资本回报率</t>
  </si>
  <si>
    <t>（税后利润+财务费用）本年累计数/（所有者权益合计+短期借款+长期借款+应付债券）期末数</t>
  </si>
  <si>
    <t>资本回报率反映企业财务风险大小的综合性指标，资本回报率越大，安全程度越高</t>
  </si>
  <si>
    <t>控制赊销比重，加强应收账款催收，严格执行公司内控制度</t>
  </si>
  <si>
    <t>经营增长状况</t>
  </si>
  <si>
    <t>总资产增长率</t>
  </si>
  <si>
    <t>资产合计期末数/资产合计期初数-1</t>
  </si>
  <si>
    <t>总资产增长率是企业本年总资产增长额同年初资产总额的比率，反映企业本期资产规模的增长情况。该指标越高，表明企业一定时期内资产经营规模扩张的速度越快。</t>
  </si>
  <si>
    <t>根据实际情况进行资产扩张，同时关注扩张的质和量的关系，以及企业的后续发展能力，避免盲目扩张</t>
  </si>
  <si>
    <t>应收款项增长率</t>
  </si>
  <si>
    <t>[（应收账款＋其他应收款）期末数－（应收账款＋其他应收款）期初数]/（应收账款＋其他应收款）期初数</t>
  </si>
  <si>
    <t>应收款项增长率反映了本期应收款项的增长情况</t>
  </si>
  <si>
    <t>资本保值增值率</t>
  </si>
  <si>
    <t>所有者权益合计期末数/所有者权益合计期初数-1</t>
  </si>
  <si>
    <t>资本保值增值率反映了投资者投入企业资本的保全性和增长性，该指标越高，表明企业的资本保全状况越好，所有者权益增长越快，债权人的债务越有保障，企业发展后劲越强。</t>
  </si>
  <si>
    <t>资本积累率</t>
  </si>
  <si>
    <t>资本积累率是指企业本年所有者权益增长额同年初所有者权益的比率，反映了企业所有者权益在当年的变动水平。该指标越高，表明企业的资本积累越多，企业资本保全性越强，应付风险、持续发展的能力越大。</t>
  </si>
  <si>
    <t>减少存货物资等过度积压的情况，提高资金周转速度</t>
  </si>
  <si>
    <t>营业增长率</t>
  </si>
  <si>
    <t>营业总收入本年累计数/营业总收入去年同期累计数-1</t>
  </si>
  <si>
    <t>营业增长率是企业本年营业收入增长额与上年营业收入总额的比率，反映营业收入的增减变动情况。该指标越大，营业收入的增长幅度越大，企业的前景越好。</t>
  </si>
  <si>
    <t>开发新产品、拓展新市场、增加促销</t>
  </si>
  <si>
    <t>营业利润增长率</t>
  </si>
  <si>
    <t>营业利润本年累计数/营业利润去年同期累计数-1</t>
  </si>
  <si>
    <t>营业利润增长率是企业本年营业利润增长额与上年营业利润总额的比率，它反映企业营业利润的增减变动情况。该指标越高，说明相比去年企业盈利能力越强。</t>
  </si>
  <si>
    <t>扩大收入，降低成本费用</t>
  </si>
  <si>
    <t>技术投入比率</t>
  </si>
  <si>
    <t>(研发支出期末-研发支出年初)/本年营业收入本年累计数</t>
  </si>
  <si>
    <t>技术投入比率是研发支出与营业收入的比率，从企业的技术创新方面反映了企业的发展潜力和可持续发展能力</t>
  </si>
  <si>
    <t>加强研发投入与创新</t>
  </si>
  <si>
    <t>现金管理</t>
  </si>
  <si>
    <t>大额现金支出（超1000元）</t>
  </si>
  <si>
    <t>对不符合《现金管理暂行条例》的超限额（1000元）现金支出的凭证分录进行预警，提示审计人员关注大额现金的使用与审批是否规范。  现金科目贷方发生额&gt;=1000</t>
  </si>
  <si>
    <t>福建省投</t>
  </si>
  <si>
    <t>日库存现金超限额分析</t>
  </si>
  <si>
    <t>对日现金余额超限（1000元）的单位进行预警，审计人员能够及时发现个单位库存现金的日节余金额，方便审计人员对现金余额的关注    日余额借方&gt;=1000</t>
  </si>
  <si>
    <t>中煤、福建省投等</t>
  </si>
  <si>
    <t>备用金大额挂支</t>
  </si>
  <si>
    <t>检查核算备用金挂支的科目或往来有余额且大额的项目进行分析，列示其余额</t>
  </si>
  <si>
    <t>福建省投 铁物</t>
  </si>
  <si>
    <t>长期占用备用金/备用金未及时清理</t>
  </si>
  <si>
    <t>长期占用，余额未及时清理（即期末余额不为0的）</t>
  </si>
  <si>
    <t>中煤 铁物</t>
  </si>
  <si>
    <t>其他应收款-备用金有新增</t>
  </si>
  <si>
    <t>其他应收款-备用金发生借方有发生额</t>
  </si>
  <si>
    <t>瓮福</t>
  </si>
  <si>
    <t>现金坐支审计分析</t>
  </si>
  <si>
    <t>收到的现金没有送存银行，而是直接用于支付</t>
  </si>
  <si>
    <t>中煤</t>
  </si>
  <si>
    <t>银行存款科目余额为贷方</t>
  </si>
  <si>
    <t>对银行日余额为贷方（或借方为负）的情况进行预警，及时通知审计人员重点关注，规范银行记账凭证的及时记账</t>
  </si>
  <si>
    <t>银行倒账疑点分析</t>
  </si>
  <si>
    <t>借贷方均出现银行存款科目</t>
  </si>
  <si>
    <t>使用其他货币资金</t>
  </si>
  <si>
    <t>对“其它货币资金”科目相关的记账凭证进行预警，审计人员及时了解其它货币资金的变化情况，及时根据单位的实际情况做出职业判断</t>
  </si>
  <si>
    <t>退回重付资金明细</t>
  </si>
  <si>
    <t>对退回重付的资金分析，查看其大额重付资金以及资金用途</t>
  </si>
  <si>
    <t>非工作时间资金支付明细表</t>
  </si>
  <si>
    <t>对非工作时间资金支付的对象、金额、用途进行查询分析</t>
  </si>
  <si>
    <t>个人支付超万元明细</t>
  </si>
  <si>
    <t>对于个人资金支付超过定额的情况进行分析</t>
  </si>
  <si>
    <t>资金支付趋势分析</t>
  </si>
  <si>
    <t>统计一段时间内指定单位的支付趋势，可以按照监管规则、支付类型、转出账户、转入账户、支付方式多个维度组合汇总。穿透显示汇总数据的明细记录。</t>
  </si>
  <si>
    <t>小金库自查</t>
  </si>
  <si>
    <t>对核算系统中，非经营收入凭证进行查询，并关联查询收入账户信息，检查专户专用情况，
在资金监管系统中关注流入和流出均为同一单位，且金额相同的发生凭证。</t>
  </si>
  <si>
    <t>采购现金结算</t>
  </si>
  <si>
    <t>查询采购付款明细账，付款科目是否有现金的凭证</t>
  </si>
  <si>
    <t>工程现金付款</t>
  </si>
  <si>
    <t>查询工程付款明细账，重点关注付款科目是否有现金的凭证</t>
  </si>
  <si>
    <t>服务付款查询</t>
  </si>
  <si>
    <t>查询服务付款明细账，重点关注付款科目为现金</t>
  </si>
  <si>
    <t>差旅费现金支付</t>
  </si>
  <si>
    <t>对核算系统中差旅费报销凭证查询，重点关注现金结算凭证</t>
  </si>
  <si>
    <t>工资性现金支出</t>
  </si>
  <si>
    <t>工资性支出现金结算凭证查询</t>
  </si>
  <si>
    <t>账户管理</t>
  </si>
  <si>
    <t>银行账户开立情况</t>
  </si>
  <si>
    <t>本模型用于筛查筛查未在中资银行开户情况，进一步核实原因。</t>
  </si>
  <si>
    <t>烟草国家局</t>
  </si>
  <si>
    <t>新开银行账户</t>
  </si>
  <si>
    <t>检查银行存款辅助项新开的账户</t>
  </si>
  <si>
    <t>铁路</t>
  </si>
  <si>
    <t>银行账户余额一年未发生变动</t>
  </si>
  <si>
    <t>检查银行存款辅助项中一年未发生变动的账户，便于检查和清理多余账户</t>
  </si>
  <si>
    <t>疑似未撤销不符合政策规定的银行账户</t>
  </si>
  <si>
    <t>疑似未撤销用“烟草专卖局”名义开设的银行账户</t>
  </si>
  <si>
    <t>疑似银行账户管理不合规</t>
  </si>
  <si>
    <t>疑似无特殊原因，在支行以下级别的机构开设银行账户</t>
  </si>
  <si>
    <t>疑似异地开立银行账户</t>
  </si>
  <si>
    <t>疑似银行结算账户配置数量超限</t>
  </si>
  <si>
    <t>疑似违规办理存款业务</t>
  </si>
  <si>
    <t>疑似违规采取购买理财产品、结构性存款的方式存放资金</t>
  </si>
  <si>
    <t>疑似银行账户开设不合规</t>
  </si>
  <si>
    <t>疑似同一单位在同一家银行（含分支机构）开设一般存款账户数量不合规</t>
  </si>
  <si>
    <t>疑似法人单位开设一个以上基本存款账户</t>
  </si>
  <si>
    <t>疑似资金管理不合规</t>
  </si>
  <si>
    <t>疑似银行回单金额和报销单金额不一致</t>
  </si>
  <si>
    <t>疑似不相容职务未分离</t>
  </si>
  <si>
    <t>疑似出纳职务兼任稽核、会计档案保管和收入、支出、费用、债权债务帐目的登记工作</t>
  </si>
  <si>
    <t>疑似未撤销开立一年内没有发生资金往来业务的银行账户</t>
  </si>
  <si>
    <t>资金管控</t>
  </si>
  <si>
    <t>资金账号信息查询</t>
  </si>
  <si>
    <t>资金上收汇总查询</t>
  </si>
  <si>
    <t>资金上收明细</t>
  </si>
  <si>
    <t>资金下拨申请查询</t>
  </si>
  <si>
    <t>资金下拨申请明细</t>
  </si>
  <si>
    <t>银行账号科目余额与资金账户实际上存款比较</t>
  </si>
  <si>
    <t>凭证金额分布分析</t>
  </si>
  <si>
    <t>其他</t>
  </si>
  <si>
    <t>手工作账检查</t>
  </si>
  <si>
    <t>列示SAP中重点手工凭证的明细项目，用于审计分析，近而发现手工作账的账务处理问题</t>
  </si>
  <si>
    <t>铁物</t>
  </si>
  <si>
    <t>资金归集率低于股份公司要求检查</t>
  </si>
  <si>
    <t>对SAP资金类科目，在截止某一时点时，检查其归集率是否低于公司制度要求</t>
  </si>
  <si>
    <t>营运资金少</t>
  </si>
  <si>
    <t>查询指定项目在辅助科目下的期初余额、发生额和期末余额。</t>
  </si>
  <si>
    <t>合同付款超款项支付异常风险预警</t>
  </si>
  <si>
    <t xml:space="preserve">以合同履约计划付款金额与司库实际付款金额做对比，筛选出超款项金额支付的，无时间限制
详细逻辑：
在合同基础信息里，筛选出资金流程为“付款”的合同，按付款阶段统计该合同各阶段的累计计划付款金额。
在司库支付信息中，筛选出付款状态为“成功”的付款记录，按合同号统计各份合同的累计实际付款金额。
按合同筛选出符合以下条件之一的：
同一项目司库总金额大于合同总金额
相同阶段司库金额大于合同金额
多阶段司库累计金额大于合同累计金额且司库实际支付时间小于合同下一阶段计划支付时间。
设置穿透，可穿透查询未按合同条款付款明细、未按合同付款合同明细
</t>
  </si>
  <si>
    <t>东风汽车</t>
  </si>
  <si>
    <t>高风险合作单位资金交易风险预警</t>
  </si>
  <si>
    <t>筛选出资金交易流水金额占现金流量总额的 5% 及以上的交易记录；</t>
  </si>
  <si>
    <t>企业存贷双高风险预警</t>
  </si>
  <si>
    <t>针对资金计划不合理风险管控场景，通过存款、贷款、利息支出数据筛查存贷双高异常，识别资金计划不合理问题，强化资金流向与财务风险管控。筛选满足以下全部条件的单位（剔除本集团金融类企业）：
・货币资金＞3000 万
・有息负债余额＞3000 万
・利息支出＞300 万</t>
  </si>
  <si>
    <t>资产负债率低于30%或者高于70%。</t>
  </si>
  <si>
    <t>在风险分析报告提示。</t>
  </si>
  <si>
    <t>济宁能源</t>
  </si>
  <si>
    <t>使用现金结算超规定标准</t>
  </si>
  <si>
    <t>单笔现金支出超2000元，风险提示。</t>
  </si>
  <si>
    <t>库存现金金额较大。</t>
  </si>
  <si>
    <t>库存现金余额连续超过3天以上超1万元，风险提示。</t>
  </si>
  <si>
    <t>货币资金、应收票据科目出现贷方</t>
  </si>
  <si>
    <t>账务处理不及时或者下错账导致银行存款科目出现贷方余额，预警</t>
  </si>
  <si>
    <t>备用金管理</t>
  </si>
  <si>
    <t>单笔借款超3万元的进行风险提示。</t>
  </si>
  <si>
    <t>其他应应收款-个人往来账龄分析</t>
  </si>
  <si>
    <t>风险提示。</t>
  </si>
  <si>
    <t>汇票签发银行信用风险</t>
  </si>
  <si>
    <t>把信用低的银行录入系统，便于自动识别提醒。</t>
  </si>
  <si>
    <t>大额资金长期沉淀</t>
  </si>
  <si>
    <t>分析科目余额表，余额连续不低于设定数值的进行风险提示。提高资金使用效率。</t>
  </si>
  <si>
    <t>模型分类</t>
  </si>
  <si>
    <t>模型名称</t>
  </si>
  <si>
    <t>模型说明</t>
  </si>
  <si>
    <t>数据来源</t>
  </si>
  <si>
    <t>运算逻辑</t>
  </si>
  <si>
    <t>查询模型</t>
  </si>
  <si>
    <t>银行账户：单位在各银行的银行账户开立明细</t>
  </si>
  <si>
    <t>查询各单位银行账户开立情况及账户余额</t>
  </si>
  <si>
    <t>司库系统</t>
  </si>
  <si>
    <t>资金结算：单位各银行账户的交易流水明细</t>
  </si>
  <si>
    <t>查询各单位各银行账户的交易流水</t>
  </si>
  <si>
    <t>银行贷款：单位银行贷款明细</t>
  </si>
  <si>
    <t>查询各单位银行贷款详细信息</t>
  </si>
  <si>
    <t>应付债券：单位应付债券明细</t>
  </si>
  <si>
    <t>查询各单位的应付债券详细信息</t>
  </si>
  <si>
    <t>应付票据：单位应付票据明细</t>
  </si>
  <si>
    <t>查询各单位的应付票据详细信息</t>
  </si>
  <si>
    <t>应收票据：单位应收票据明细</t>
  </si>
  <si>
    <t>查询各单位的应收票据详细信息</t>
  </si>
  <si>
    <t>担保：单位的担保明细</t>
  </si>
  <si>
    <t>查询各单位的担保详细信息</t>
  </si>
  <si>
    <t>信用证：单位的信用证开证明细</t>
  </si>
  <si>
    <t>查询各单位的信用证开证详细信息</t>
  </si>
  <si>
    <t>保函：单位的保函办理明细</t>
  </si>
  <si>
    <t>查询各单位的保函办理详细信息</t>
  </si>
  <si>
    <t>应收账款：单位应收账款发生额及余额明细</t>
  </si>
  <si>
    <t>查询各单位的应收账款详细信息</t>
  </si>
  <si>
    <t>应付账款：单位应付账款发生额及余额明细</t>
  </si>
  <si>
    <t>查询各单位的应付账款详细信息</t>
  </si>
  <si>
    <t>供应链金融：单位融资明细</t>
  </si>
  <si>
    <t>查询各单位的融资详细信息</t>
  </si>
  <si>
    <t>付款信息：单位的付款明细</t>
  </si>
  <si>
    <t>查询各单位的付款详细信息</t>
  </si>
  <si>
    <t>分析模型</t>
  </si>
  <si>
    <t>未按合同履约计划付款</t>
  </si>
  <si>
    <t>是否超款项金额支付（实际付款与合同约定不一致）</t>
  </si>
  <si>
    <t>合同系统、司库系统</t>
  </si>
  <si>
    <t>在合同基础信息里，筛选出资金流程为“付款”的合同，按付款阶段统计该合同各阶段的累计计划付款金额。
在司库支付信息中，筛选出付款状态为“成功”的付款记录，按合同号统计各份合同的累计实际付款金额。
按合同筛选出符合以下条件之一的：
同一项目司库总金额大于合同总金额
相同阶段司库金额大于合同金额
多阶段司库累计金额大于合同累计金额且司库实际支付时间小于合同下一阶段计划支付时间。</t>
  </si>
  <si>
    <t>超范围票据</t>
  </si>
  <si>
    <t>违规接收超范围承兑汇票</t>
  </si>
  <si>
    <t>查询司库票据付款记录中的出票人支行名称，对名称进行处理：如果出票人支行名称中含有“银行”，则截取到“银行”，否则截取名称的前8位。
使用截取后的出票人支行名称，模糊匹配各单位制度规定范围内的合作银行名称。
在结果中筛选出不在范围内且交易状态为“成功”的。</t>
  </si>
  <si>
    <t>个人长期大额借款未归还</t>
  </si>
  <si>
    <t>防止因管理疏漏导致长期挂账</t>
  </si>
  <si>
    <t>报表系统、司库系统</t>
  </si>
  <si>
    <t>通过账龄管理表，取报表数据类型为单体比例报表且指标项id为“DFM_016_R_D_1”的。
关联账套表，取关联结果中项目名称为“期末账面余额”、“计提一般坏账准备金额”、“计提个别坏账准备金额”的。
取最大月份且“期末账面余额”、“计提一般坏账准备金额”、“计提个别坏账准备金额”任意项金额大于0的。
设置“转凭证查询”，可以查询具体凭证明细。</t>
  </si>
  <si>
    <t>合作银行数量超标</t>
  </si>
  <si>
    <t>公司各单位（非金融类子企业）主要合作银行数量原则上不得超过3家
年营业收入100亿元以上单位可选择4~5 家主要合作银行</t>
  </si>
  <si>
    <t>统计各单位年营业收入数据。
统计各单位合作银行数量，去掉XX内部金融机构的。
通过100亿元的标准，筛选出超出制度规定的。</t>
  </si>
  <si>
    <t>交易流水金额较高的风险合作方</t>
  </si>
  <si>
    <t>识别交易流水金额较高的风险合作方的情况，假冒国企</t>
  </si>
  <si>
    <t>司库系统、企查查</t>
  </si>
  <si>
    <t>按月统计各单位的司库交易流水金额及经营活动产生的现金流量净额。
通过调用企查查险接口及假冒国企名单，取标记为高风险的，或假冒国企的。
过滤掉XX内容单位，按月展示资金交易流水金额占现金流量总额的5%及以上的交易记录。
设置穿透查询，查看高风险单位的资金往来分析。</t>
  </si>
  <si>
    <t>应收及预付较高的风险合作方</t>
  </si>
  <si>
    <t>识别应收及预付金额较高的风险合作方的情况</t>
  </si>
  <si>
    <t>按月统计各单位的应收账款、预付账款、应收及预付总额。
通过调用天眼查企业天眼风险接口及假冒国企名单，取标记为高风险的，或假冒国企的。
过滤掉XX内容单位，按月展示应收及预付总金额在top30的。</t>
  </si>
  <si>
    <t>未及时清收股利</t>
  </si>
  <si>
    <t>识别未及时清收股利的情况，防止长期未收回的股利形成坏账</t>
  </si>
  <si>
    <t>司库系统、报表系统</t>
  </si>
  <si>
    <t>取BPC凭证表，筛选出科目名称包含应收股利且贷方金额为0的（计提） 。
取BPC凭证表，筛选出科目名称包含应收股利且借方金额为0的（支付） 。
通过计提清单的账套编号、科目编号、辅助内容、金额匹配实际支付的清单，并计算计提支付时间差，筛选出匹配不上的记录。</t>
  </si>
  <si>
    <t>疑似存贷双高</t>
  </si>
  <si>
    <t>识别资金计划不合理（疑似存贷双高）的情况，存款高：货币资金大于3000万
贷款高：有息负债大于3000万
利息支出高：利息支出大于300万</t>
  </si>
  <si>
    <t>取BPC报表中各单位项目名称为货币资金、有息负债余额、利息支出的。
筛选出货币资金大于3000万、有息负债余额大于3000万、利息支出大于300万的。</t>
  </si>
  <si>
    <t>非经常合作方金额交易趋势分析</t>
  </si>
  <si>
    <t>分析非经常合作方的交易金额趋势，近3年（3年前的年初至今）中至少2年交易频次为0的交易往来方</t>
  </si>
  <si>
    <t>取司库账户明细表中近3年（3年前的年初至今）有交易记录的合作方。
按年度、合作方名称、收支方向分别汇总统计交易频次、交易金额、是否至少2年交易频次为0。
设置穿透，查询交易明细，上方折线图展示各年度的交易频次、交易金额，下方列表展示每笔交易详情。</t>
  </si>
  <si>
    <t>合作方交易金额趋势分析</t>
  </si>
  <si>
    <t>分析各合作方的交易金额趋势</t>
  </si>
  <si>
    <t>取司库账户明细表中近3年（3年前的年初至今）有交易记录的合作方。
按季度/年度、合作方名称、收支方向分别汇总统计交易频次、交易金额。
上方折线图展示各季度/年度的交易频次、交易金额，下方列表展示每笔交易详情。</t>
  </si>
  <si>
    <t>大额“公对私”转账</t>
  </si>
  <si>
    <t>分析各单位大额“公对私”转账的情况</t>
  </si>
  <si>
    <t>取司库付款指令表中对私标记为对私、收款方名称不含公司、付款金额大于1万的记录。
按收款方名称、对私标记、收款方账号、付款日期展示付款金额。</t>
  </si>
  <si>
    <t>非白名单资金超比例</t>
  </si>
  <si>
    <t>识别白名单外的金融机构资金存放占货币资金总量的比例违反制度要求的情况</t>
  </si>
  <si>
    <t>按单位、按日统计本单位货币资金总量、白名单外的金融机构资金总量。
识别白名单外的金融机构资金存放占货币资金总量的比例超过10%的单位，并进行标记。
按单位展示本单位货币资金总量、白名单外的金融机构资金总量、白名单外的金融机构资金存放占货币资金总量的比例等。</t>
  </si>
  <si>
    <t>非白名单银行账户</t>
  </si>
  <si>
    <t>识别各单位白名单外的银行账户及余额情况</t>
  </si>
  <si>
    <t>以银行账户信息表的银行名称匹配白名单/战略合作银行名称，筛选出匹配不上的。
结果中过滤掉账户状态是销户的。
按单位展示各单位白名单外的银行账户、账户余额、可用余额等。</t>
  </si>
  <si>
    <t>沉睡银行账户</t>
  </si>
  <si>
    <t>识别各单位沉睡银行账户及余额情况，长期无资金流动的银行账户未销户</t>
  </si>
  <si>
    <t>获取近6个月无交易记录的银行账户，关联银行账户信息表。
在关联结果中获取银行账户的最后交易时间，与开户日期对比，计算沉睡天数。
按账户展示账号、沉睡天数、最近交易时间、开户日期、账户余额等，支持按大于180、270、360天筛选。</t>
  </si>
  <si>
    <t>是否纳入资金预算范围</t>
  </si>
  <si>
    <t>识别各单位是否纳入资金预算范围情况</t>
  </si>
  <si>
    <t>获取被审计单位清单，关联纳入资金预算范围的单位清单。
在关联结果中匹配上的即为纳入资金预算范围的单位，否则不是。</t>
  </si>
  <si>
    <t>XX同一集团交易往来</t>
  </si>
  <si>
    <t>识别经销商和供应商同属于一个集团的应收及付款Top30的情况，有应收账款仍在付款</t>
  </si>
  <si>
    <t>按月统计各供应商所属集团的累计付款金额，过滤掉在司库单位表中的内部单位，取前30的供应商。
按月统计各经销商所属集团的应收账款余额，过滤掉在司库单位表中的内部单位，取前30的经销商。
通过各所属集团累计付款的所属集团名称 关联 各所属集团应收账款余额的名称，筛选出匹配成功的。
按所属集团展示各月经销商应收账款总金额、供应商付款总金额，设置穿透查询，可查看当月对应经销商应收账款明细、供应商付款明细。</t>
  </si>
  <si>
    <t>各单位同一集团交易往来</t>
  </si>
  <si>
    <t>识别经销商和供应商同属于一个集团的应收及付款Top30的各单位情况，有应收账款仍在付款</t>
  </si>
  <si>
    <t>按月统计各供应商所属集团的累计付款金额，过滤掉在司库单位表中的内部单位，取前30的供应商。
按月统计各经销商所属集团的应收账款余额，过滤掉在司库单位表中的内部单位，取前30的经销商。
通过各所属集团累计付款的所属集团名称 关联 各所属集团应收账款余额的名称，筛选出匹配成功的。
按各单位展示集团top30下各月经销商应收账款、供应商付款明细。</t>
  </si>
  <si>
    <t>中建材</t>
  </si>
  <si>
    <t>中化</t>
  </si>
  <si>
    <t>资产长期闲置</t>
  </si>
  <si>
    <t>减值准备计提不规范</t>
  </si>
  <si>
    <t>研发费用管理不规范</t>
  </si>
  <si>
    <t>长期未分红的股权投资(成本法)</t>
  </si>
  <si>
    <t>检查截止某时点，投资的对象长期未分红的情况。  
成本法下，宣布分红时，借：应收股利   贷：投资收益</t>
  </si>
  <si>
    <t>长期未分红的股权投资(权益法)</t>
  </si>
  <si>
    <t>检查截止某时点，投资的对象长期未分红的情况。
权益法下，宣布分红时，借：应收股利   贷：长期股权投资-损益调整</t>
  </si>
  <si>
    <t>长期股权投资比率超过50%预警</t>
  </si>
  <si>
    <t>源于《公司法》规定：累计投资额不得超过本公司净资产的50％</t>
  </si>
  <si>
    <t>交易性金融资产、持有至到期投资、可供出售金融资产 余额有变动</t>
  </si>
  <si>
    <t>长期股权投资发生减值</t>
  </si>
  <si>
    <t>长期股权投资-减值准备 贷方有发生</t>
  </si>
  <si>
    <t>产生投资收益</t>
  </si>
  <si>
    <t>检查投资方的投资收益，用以发现投资回报是否合理。查询投资收益借方、贷方发生明细</t>
  </si>
  <si>
    <t>境外投资业务</t>
  </si>
  <si>
    <t>审查所有境外投资业务，筛选境外投资业务。查询长期股权投资科目中,科目名称或摘要中含有境外或国外</t>
  </si>
  <si>
    <t>并购投资业务</t>
  </si>
  <si>
    <t>审查所有并购投资业务，筛选并购投资业务。查询长期股权投资科目中,科目名称或摘要中含有并购或合并</t>
  </si>
  <si>
    <t>投资收益对本年利润的影响-按年度</t>
  </si>
  <si>
    <t>长期股权投资对投资收益的影响-按年度</t>
  </si>
  <si>
    <t>创投基金</t>
  </si>
  <si>
    <t>其他综合收益多维分析-创投基金</t>
  </si>
  <si>
    <t>基金项目多维对比分析-按年度</t>
  </si>
  <si>
    <t>基金项目多维对比分析-按月度</t>
  </si>
  <si>
    <t>投资收益多维分析-创投基金</t>
  </si>
  <si>
    <t>股票投资-成本收益科目对比分析-按年度</t>
  </si>
  <si>
    <t>股票投资-成本收益科目对比分析-按月度</t>
  </si>
  <si>
    <t>金融类项目多维统计分析-按年度</t>
  </si>
  <si>
    <t>金融类项目多维统计分析-按月度</t>
  </si>
  <si>
    <t>创投管理</t>
  </si>
  <si>
    <t>人工费用占管理费收入比</t>
  </si>
  <si>
    <t>人工费用（管理费用-薪酬）/管理费收入（代管/直管）</t>
  </si>
  <si>
    <t>多元化投资</t>
  </si>
  <si>
    <t>多元化投资情况</t>
  </si>
  <si>
    <t>查询对外投资明细账</t>
  </si>
  <si>
    <t>通过往来核算为多元化企业投资</t>
  </si>
  <si>
    <t>查询其他应收款科目，对应客商往来单位为多元化企业，关注是否为通过往来核算进行投资</t>
  </si>
  <si>
    <t>多元化企业列支主业员工薪酬</t>
  </si>
  <si>
    <t>查询多元化企业中薪酬、福利发放，物业，宣传促销费用明细账</t>
  </si>
  <si>
    <t>投资清理处置情况</t>
  </si>
  <si>
    <t>本模型用于筛查连续5年亏损、银行贷款金额大、资产负债率连续3年超100%的多元化企业，进一步了解是否制定清理退出方案。</t>
  </si>
  <si>
    <t>本次筛查连续5年亏损、银行贷款金额大、资产负债率连续3年超100%的多元化企业。</t>
  </si>
  <si>
    <t>多元化投资潜盈（亏）分析</t>
  </si>
  <si>
    <t>本模型用于筛查展示长期股权投资盈亏情况。</t>
  </si>
  <si>
    <t>本次筛查长期股权投资账面余额与投资成本的差额为负数显亏损的数据。</t>
  </si>
  <si>
    <t>多元化企业经营效益情况分析</t>
  </si>
  <si>
    <t>本模型用于筛查未完成指标，进一步分析原因</t>
  </si>
  <si>
    <t>行业干部职工投资入股情况</t>
  </si>
  <si>
    <t>本模型用于筛查职工持股仍未清退名单，进一步了解是否制定清理退出方案。</t>
  </si>
  <si>
    <t>本次筛查显示职工持股仍未清退名单。</t>
  </si>
  <si>
    <t>多元化企业职工持股情况</t>
  </si>
  <si>
    <t>查询多元化企业实收资本职工持股构成，及应付股利分配明细账</t>
  </si>
  <si>
    <t>违规违法获取工程</t>
  </si>
  <si>
    <t>检查工程建设过程管理不合规的事项。转包或违法分包、工程资金管理不规范、未追究对方违约责任、垫资建设工程、在工资总额外列支工资性支出</t>
  </si>
  <si>
    <t>粗筛分包合同的施工范围与总包合同的施工范围相似的合同
劳务分包合同金额&gt;总承包合同金额的30%
单一工程项目的供应商核算维度数量=1
(项目的预付账款额+贷方为存款类科目的项目应付账款借方发生额)&gt;借方为存款类科目的项目应收账款贷方发生额
管理费用、销售费用、工程施工、主营业务成本中的二级科目含“薪酬、工资、社保类”名称的对方科目≠“应付职工薪酬”</t>
  </si>
  <si>
    <t>违规提供担保</t>
  </si>
  <si>
    <t>检查未按规定担保的事项</t>
  </si>
  <si>
    <t>决算表样（Z18融资担保情况表）中各类单项担保金额＞0</t>
  </si>
  <si>
    <t>检查减值准备计提不规范的情况。商誉减值计提不到位，多计当年利润；长期股权投资减值不到位，多计当年利润；信用减值多计提导致少计当年利润；信用减值少提导致多计当年利润；固定资产减值少提导致多计当年利润；存货跌价少提导致多计当年利润；使用权资产减值损失、在建工程减值损失、固定资产减值损失、无形资产减值损失、投资性房地产减值损失、生产性生物资产减值损失、油气资产减值损失</t>
  </si>
  <si>
    <t>决算表样（QCF93）中被投资单位当年净利润&lt;上年净利润，且（（本年净利润-上年净利润）/上年净利润）的绝对值&gt;50% 且被投资单位的商誉减值准备-本期增加=0
决算表样（QCF93）中被投资单位的模糊对比连续两年净利润&lt;0；且被投资单位的商誉减值准备-本期增加=0
决算表样（QCF93）中被投资单位的报表月份&lt;12个月；且被投资单位的商誉减值准备-本期增加=0，或该被投资单位-商誉净值（账面原值期末余额-减值准备期末余额）&gt;0
决算表样（QCF71）被投资单位（合营、联营企业）中挂账单位的模糊对比净利润&lt;-1000万元；且该挂账单位长投本期变动&lt;=0
决算表样（QCF71）被投资单位（合营、联营企业）中挂账单位的模糊对比连续两年净利润&lt;0；且该挂账单位长投本期变动&lt;=0
决算表样（QCF71）被投资单位（合营、联营企业）报表月份&lt;12个月；且该挂账单位长投本期变动&lt;=0
单项计提坏账准备的应收账款（决算表样QCF24）、期末单项金额重大并单项计提坏账准备的应收账款（决算表样QCF25）表中数据≠0
暂无
单项计提坏账准备的其他应收款情况（QCF45 ）、期末单项金额重大并单项计提坏账准备的其他应收款项（QCF46 ）表中数据≠0
"应收账款发生年限与系统中年限不一致，如单个挂账单位本期贷方发生额&lt;期初余额，差额即为一年以上金额，以此类推
如按每个客户单独来计，因为回款是先入先出，此逻辑基本可用，但这样计算的公式很复杂；如果从应收款总额来计，因为当年的回款可能对应于历史各年的应收款，这个公式只能推算出大概的金额"
长期应收款（分期收款销售商品、分期收款提供劳务）期末账面价值余额&gt;期初账面价值余额或 应收账款的对方科目为“长期应收款”、“其他流动资产”
涉及企业合并的企业，合并企业的应收账款与被合并企业应收账款重合部分，信用减值计提比例小于5%；预计无法实现
信用减值损失对方科目为其他应付款
"净值&gt;净残值的固定资产，未提折旧、也无减值准备；
或：（（制造业）企业原材料科目变动与产成品科目变动不成比例2年以上（原材料发生额低于产成品发生额的20%）（视同企业无自产）且资产无减值准备，或原材料或产成品科目2年以上无发生额）且资产无减值准备
或：某项目的在建工程科目5年前有发生额且当下仍有余额："
"单体企业，（6.产销量表）两年度合计，两年销售量＜期初余量，未计提存货跌价准备
或：产成品的单位存货成本&gt;产成品的单位售价
或：原材料的单位存货成本&gt;原材料的单位采购价"
资产减值准备情况表（Z06 ）本期增加额≠0</t>
  </si>
  <si>
    <t>检查研发费用真实性。研发费用未落实加计扣除；研发支出归集不合理；研发费用并无对应研发项目，为达到研发费用年度指标集中计提</t>
  </si>
  <si>
    <t>企业税务月报（SWNS 纳税情况表）中“加计抵扣的研发费用”≠财务报表“研发费用”
单个项目开发支出核算维度减少额=0，且增加额&lt;20万元
检索研发支出-费用化支出记账凭证摘要，粗筛含“软件”凭证；或研发费用对方科目=“无形资产”
研发费用相关凭证集中在月底最后一天计提</t>
  </si>
  <si>
    <t>集团员工违规持股</t>
  </si>
  <si>
    <t>检查违规持股事项。违规对集团内企业持股；违规对集团外企业持股</t>
  </si>
  <si>
    <t>应持股信息暂无渠道获取
集团员工实际持股＞0</t>
  </si>
  <si>
    <t>向集团外企业出借资金</t>
  </si>
  <si>
    <t>检查违规出借资金事项。其他应收款中单个挂账单位的余额或本年度借方发生额超50万</t>
  </si>
  <si>
    <t>其他应收账款明细表单个法人单位余额或本年度借方发生额≥50万</t>
  </si>
  <si>
    <t>应合并未合并审计范围</t>
  </si>
  <si>
    <t>检查集团内企业合并审计范围事项。集团内企业未将持股50%的法人主体纳入合并范围</t>
  </si>
  <si>
    <t>股权比例≥50%且不在久其报表系统合并范围内的，列示</t>
  </si>
  <si>
    <t>检查企业房产长期闲置。自建或抵债房产闲置；投资性房地产空置</t>
  </si>
  <si>
    <t>非经营性固定资产（房屋建筑物原值）期初数-期末数≤0
"投资性房地产＞0，且其他业务收入（租金收入）＝0；
或（考虑空置率），假设房产原值2万/平米，对外出租每年每平米30*12=360元；
投资性房地产＞0,其他业务收入（租金收入）/投资性房地产原值&lt;1.8%"</t>
  </si>
  <si>
    <t>违规开展重大投资项目</t>
  </si>
  <si>
    <t>检查重大投资项目的流程合规性。已达预计完工时间缺少审批程序或相关报告；项目进展滞后；固投超概；当年净利润与可研净利润偏离较大；建设项目停滞；未批先设；已达预计完成时间缺少审批程序或相关报告；项目进展滞后；当年净利润不达可研净利润；连续三年未分红；违规以超出评估值的的价格收购</t>
  </si>
  <si>
    <t>项批复文号/可研批复文号/概算批复文号/政府部门备案（核准文号）/环境影响评价文号/节能评估文号/规划文号/用地批复文号 字段=空
可研批复时间+12个月≥项目开工时间（或项目开工时间仍为“空”）
可研审批时间+12个月≤概算审批时间（或概算审批时间仍为“空”）
完工时间+12个月≤转固时间（或转固时间仍为“空”）
“是”开展结决算审计，且截止上年末累计完成投资额≥批复总投资10%
当年净利润≤可研净利润*60%
在建工程核算维度12个月内借贷方发生额=0
股投初始投资日期＜可研批复时间
项目公司设立时间＜可研批复时间
立项批复文号/可研批复文号/可研报告文号或名称/评估或估值备案文号 字段=空
股投项目初始投资时间+12个月≤工商变更日期（或工商变更日期仍为“空”）
当年净利润≤可研净利润*80%
长投挂账企业，对应的应收股利挂账企业，连续三年分红=0
截止上年末累计完成投资额&gt;评估值价值（评估值价值无数据，仅有净资产价值）</t>
  </si>
  <si>
    <t>采购竞价不充分</t>
  </si>
  <si>
    <t>筛选采购竞价不充分的业务。超过法律要求应招未招；制造业企业超过集团制度要求应招未招；询比价未执行三方比价；与高风险供应商开展合作；涉嫌围标；物资采购金额差异较大</t>
  </si>
  <si>
    <t>在建工程科目挂账单位累计发生额&gt;400万元，在挂账年份内招投标模块未检索到供应商。（跨系统建模，预计本阶段难以实现）
制造业企业询比价模块，同一法人单位在同一年度内向同一供应商的采购同一物资（名称且规格型号相同）&gt;100万元</t>
  </si>
  <si>
    <t>两金压降不到位</t>
  </si>
  <si>
    <t>筛选两金压降不实或未压降的问题。某时点大额冲销存货；存货未压降；以非回款方式减少应收账款；应收款未回款；违规向经营异常客户赊销</t>
  </si>
  <si>
    <t>应收款对方科目为“长期应收款”或“其他流动资产”
单个客户应收款期初&gt;500万元，半年内借方增加&gt;0，贷方发生=0</t>
  </si>
  <si>
    <t>收入利润不实</t>
  </si>
  <si>
    <t>检查企业当年度的收入利润的真实性。往来款异常核销；应递延确认的政府补助一次确认；工程项目提前或延后确认收入；工程项目虚增收入；产成品单价异常；存货结转单价异常；生产制造类的在建工程推迟转固</t>
  </si>
  <si>
    <t>营业外收入的对应科目是负债类往来款；以前年度损益的对应科目是资产类往来款
营业外收入≥3000万
"该项目各月毛利率-该项目结算毛利率"＞或＜0
决算表样（合同资产情况）中单个项目的合同资产余额＞项目总包合同金额20%
决算表样（合同资产情况）中单个项目的合同资产余额连续两年＞0
"单类产品的单笔单价*110%≤该产品的年均单价；
单类产品的单笔单价*90%≥该产品的年均单价；"
在建工程年末数≥3000万，且2个年度借方且贷方发生额</t>
  </si>
  <si>
    <t>重大事件不上报</t>
  </si>
  <si>
    <t>检查重大事项程序不规范。需上级单位审批的三重一大事项未报上级单位审批；发生安全环保处罚未上报上级单位；发生员工大额备用金未上报上级单位；报销的出国境费用，未办理因公出国境手续</t>
  </si>
  <si>
    <t>以同一模糊字段粗筛某一企业下各级单位的会议清单，并根据各级单位权限判定是否应履行报批手续
粗筛营业外支出（处罚），将其与安全环保管理系统相关字段进行匹配</t>
  </si>
  <si>
    <t>信息化项目</t>
  </si>
  <si>
    <t>立项批复情况分析</t>
  </si>
  <si>
    <t>用于筛查筛选先实施后批复的项目。</t>
  </si>
  <si>
    <t>筛查信息化项目无立项批复计划或立项批复时间晚于实施时间。</t>
  </si>
  <si>
    <t>立项科学性分析</t>
  </si>
  <si>
    <t>用于筛查是否重复建设、反复更新的项目，进一步了解核实情况。</t>
  </si>
  <si>
    <t>筛查建设周期有重叠12个月及以上的项目，点击“项目名称”列，可以跳转至对应建设周期重叠项目明细界面。</t>
  </si>
  <si>
    <t>实施金额情况分析</t>
  </si>
  <si>
    <t>本模型用于筛查实际投资超批复问题。</t>
  </si>
  <si>
    <t>本次筛查信息化项目实际投资金额超批复金额项目明细。</t>
  </si>
  <si>
    <t>信息化投资</t>
  </si>
  <si>
    <t>疑似投资总额超批复金额</t>
  </si>
  <si>
    <t>疑似项目投资未按照审批权限进行立项审批</t>
  </si>
  <si>
    <t>疑似100万元-3000万元项目投资未报省公司审批</t>
  </si>
  <si>
    <t>疑似100万元以下项目投资未报直属单位审批</t>
  </si>
  <si>
    <t>检查久期相关表格</t>
  </si>
  <si>
    <t>对子企业超股比担保</t>
  </si>
  <si>
    <t>对参股企业超股比担保</t>
  </si>
  <si>
    <t>对集团外无股权关系企业融资担保</t>
  </si>
  <si>
    <t>对金融子企业担保</t>
  </si>
  <si>
    <t>集团内无股权关系子企业互保</t>
  </si>
  <si>
    <t>对不具备持续经营能力的子企业担保</t>
  </si>
  <si>
    <t>通过共同借款合同、差额补足承诺、支持性函件进行隐性融资担保</t>
  </si>
  <si>
    <t>检查集团内企业持股50%的法人主体的合并情况。股权比例≥50%且不在久其报表系统合并范围内的，列示</t>
  </si>
  <si>
    <t>固定资产投资项目</t>
  </si>
  <si>
    <t>未批先建</t>
  </si>
  <si>
    <t>项批复文号/可研批复文号/概算批复文号/政府部门备案（核准文号）/环境影响评价文号/节能评估文号/规划文号/用地批复文号 字段=空</t>
  </si>
  <si>
    <t>已达预计完工时间缺少审批程序或相关报告</t>
  </si>
  <si>
    <t>可研批复时间+12个月≥项目开工时间（或项目开工时间仍为“空”）</t>
  </si>
  <si>
    <t>项目进展滞后</t>
  </si>
  <si>
    <t>可研审批时间+12个月≤概算审批时间（或概算审批时间仍为“空”）</t>
  </si>
  <si>
    <t>完工时间+12个月≤转固时间（或转固时间仍为“空”）</t>
  </si>
  <si>
    <t>“是”开展结决算审计，且截止上年末累计完成投资额≥批复总投资10%</t>
  </si>
  <si>
    <t>固投超概</t>
  </si>
  <si>
    <t>当年净利润≤可研净利润*60%</t>
  </si>
  <si>
    <t>当年净利润与可研净利润偏离较大</t>
  </si>
  <si>
    <t>在建工程核算维度12个月内借贷方发生额=0</t>
  </si>
  <si>
    <t>建设项目停滞</t>
  </si>
  <si>
    <t>股投初始投资日期＜可研批复时间</t>
  </si>
  <si>
    <t>股权投资项目</t>
  </si>
  <si>
    <t>未批先设</t>
  </si>
  <si>
    <t>项目公司设立时间＜可研批复时间</t>
  </si>
  <si>
    <t>立项批复文号/可研批复文号/可研报告文号或名称/评估或估值备案文号 字段=空</t>
  </si>
  <si>
    <t>已达预计完成时间缺少审批程序或相关报告</t>
  </si>
  <si>
    <t>股投项目初始投资时间+12个月≤工商变更日期（或工商变更日期仍为“空”）</t>
  </si>
  <si>
    <t>当年净利润≤可研净利润*80%</t>
  </si>
  <si>
    <t>当年净利润不达可研净利润</t>
  </si>
  <si>
    <t>长投挂账企业，对应的应收股利挂账企业，连续三年分红=0</t>
  </si>
  <si>
    <t>连续三年未分红</t>
  </si>
  <si>
    <t>截止上年末累计完成投资额&gt;评估值价值（评估值价值无数据，仅有净资产价值）</t>
  </si>
  <si>
    <t>违规以超出评估值的的价格收购</t>
  </si>
  <si>
    <t>主营业务收入为负</t>
  </si>
  <si>
    <t>除了结转以外的主营业务收入在借方或者贷方为负数的凭证，提示审计人员关注</t>
  </si>
  <si>
    <t>主营业务收入环比增减变动超过15%</t>
  </si>
  <si>
    <t>福建省投 铁路</t>
  </si>
  <si>
    <t>主营业务收入同比增减变动超过15%</t>
  </si>
  <si>
    <t>主营业务收入同比增减超过15%</t>
  </si>
  <si>
    <t>经营偏离主业</t>
  </si>
  <si>
    <t>主营收入小于其他业务收入加营业外收入</t>
  </si>
  <si>
    <t>三公经费超支</t>
  </si>
  <si>
    <r>
      <rPr>
        <b/>
        <sz val="10"/>
        <color theme="1"/>
        <rFont val="微软雅黑"/>
        <charset val="134"/>
      </rPr>
      <t>三公经费：</t>
    </r>
    <r>
      <rPr>
        <sz val="10"/>
        <color theme="1"/>
        <rFont val="微软雅黑"/>
        <charset val="134"/>
      </rPr>
      <t>因公出国（境）经费、公务车购置及运行费、公务招待费。
审查三公经费超支情况。对一个期间的三公经费支出上限与实际支出进行对比　</t>
    </r>
  </si>
  <si>
    <t>非生产性费用分析大额支出</t>
  </si>
  <si>
    <t>非生产性费用：办公费、招待费、差旅费、会议费、劳动保护费、劳务费、修理费、信息系统维护费、技术维护费、咨询费、福利费、职工教育经费、租赁费、运输费用、车辆运行费、公车补贴、资产购置费、涉外费、诉讼赔付、丧葬、抚恤金、罚款（行政罚款） 等。对相关成本费用科目大额发生的凭证分录进行预警，审计人员及时核对分录的真实性、合规性、合理性。可以按照单笔支付金额前十，支付对象汇总前十、经办部门汇总前十等方式进行分析。</t>
  </si>
  <si>
    <t>廉洁从业预警</t>
  </si>
  <si>
    <t>对摘要中含 烟、酒、旅游、卡、礼品、礼金、高尔夫、会所、VIP、特产、走访、送礼、宴请、慰问、庆典、提货、证券等关键词的凭证分录进行预警</t>
  </si>
  <si>
    <t>大额连号票据报销预警</t>
  </si>
  <si>
    <t>对应大额连号发票、个人交通费的报销进行预警</t>
  </si>
  <si>
    <t>XX费用本期发生数环比增加10%，且发生额超过1万元</t>
  </si>
  <si>
    <t>“销售费用、管理费用、财务费用、业务招待费等”科目本期发生数环比或同比增加10%，且发生额超过1万元，提示审计人员重点关注费用增加的合理性</t>
  </si>
  <si>
    <t>XX费用本年累计同比增加超过10%</t>
  </si>
  <si>
    <t>“销售费用、管理费用、财务费用、业务招待费等”科目本年累计发生同比增加超过10%，提示审计人员重点关注费用增加的合理性</t>
  </si>
  <si>
    <t>XX费用每月变化情况</t>
  </si>
  <si>
    <t>“销售费用、管理费用、财务费用、业务招待费等”每月趋势变化，支持穿透到明细</t>
  </si>
  <si>
    <t>财务费用—利息支出大额发生</t>
  </si>
  <si>
    <t>发生研究开发费支出</t>
  </si>
  <si>
    <t>系统自动提取企业研发费科目的所有记账分录，提示审计人员逐笔关注。</t>
  </si>
  <si>
    <t>主营业务成本为负</t>
  </si>
  <si>
    <t>除了结转以外的主营业务成本在贷方或者借方为负数的凭证，提示审计人员关注</t>
  </si>
  <si>
    <t>主营业务成本倒轧表</t>
  </si>
  <si>
    <t>各存货科目的期初余额+本期发生的—期末余额</t>
  </si>
  <si>
    <t>中信重工</t>
  </si>
  <si>
    <t>营业外收入大额发生（超5000元）</t>
  </si>
  <si>
    <t>对营业外收入超过一定限额的进行预警，提示审计人员重点关注。</t>
  </si>
  <si>
    <t>月销售业务毛利为零或负</t>
  </si>
  <si>
    <t>月毛利&lt;=0</t>
  </si>
  <si>
    <t>收入/利润结构分析</t>
  </si>
  <si>
    <t>客户集中度较高，导致对单一客户依赖度高，未来经营可能有一定风险；
目标公司的收入/利润主要来自于非经常性项目（如政府补贴与投资收益）等</t>
  </si>
  <si>
    <t>期间费用增速高于收入及利润</t>
  </si>
  <si>
    <t>成本费用与本年利润关联趋势分析</t>
  </si>
  <si>
    <t>主营业务收入与本年利润关联分析</t>
  </si>
  <si>
    <t>应收账款与主营业务收入关联分析</t>
  </si>
  <si>
    <t>出租房产无租金收入（投资性房地产）</t>
  </si>
  <si>
    <t>按年度汇总租金收入科目发生额除1521开头的科目投资性房地产科目年初余额，根据计算所得比率分析判断出租房产却无租金收入情况。</t>
  </si>
  <si>
    <t>销量和物流费用增长率对比</t>
  </si>
  <si>
    <t>对比销量增长率与物流费用增长率。加强物流业务统筹，加强物流和供应商管理</t>
  </si>
  <si>
    <t>企业资产异常与负债增长风险预警</t>
  </si>
  <si>
    <t>通过多财务指标联动分析，筛查资产出售、应付账款异常增长，识别经营爆雷风险，支撑风险提前预警。
应付账款：应付账款激增环比连续3月上升30%
固定资产出售：固定资产出售当期固定资产减少值/固定资产期末数大于30%或同比&gt;10%
固定资产清理：固定资产清理期末账面价值变化连续3月上升30%</t>
  </si>
  <si>
    <t>企业经营萎缩与盈利下滑风险预警</t>
  </si>
  <si>
    <t>通过多财务指标联动分析，筛查核心业务萎缩、盈利下滑等异常，识别经营爆雷风险，支撑风险提前预警。
主营业务持续萎缩：营业外收入/利润总额环比连续3月上升30%
销售(营业)利润率：销售(营业)利润率环比连续3月比下降30%
资本收益率：资本收益率环比连续3月比下降30%
成本费用利润率：成本费用利润率环比连续3月比上升30%
成本费用占营业总收入比重：成本费用占营业总收入比重环比连续3月比上升30%
总资产报酬率：总资产报酬率环比连续3月比下降30%</t>
  </si>
  <si>
    <t>企业税收与职工待遇异常下滑风险预警</t>
  </si>
  <si>
    <t>通过多财务指标联动分析，筛查税收、职工待遇异常下滑，识别经营爆雷风险，强化经营风险管控。
企业所得税变化率：企业所得税变化率环比或同比连续6月下降10%
增值税变化率：增值税变化率环比或同比连续6月下降10%
社保费变化率：社保费变化率环比或同比连续6月下降20%</t>
  </si>
  <si>
    <t>企业负债膨胀与短期借款占比异常风险预警</t>
  </si>
  <si>
    <t>通过多财务指标联动分析，筛查负债膨胀、短期借款占比异常，识别经营爆雷风险，强化财务风险管控。
负债膨胀率：负债膨胀率&gt;30%；短期借款占比变化上升30%</t>
  </si>
  <si>
    <t>企业涉税违法违规风险预警</t>
  </si>
  <si>
    <t>通过多财务指标联动分析，筛查涉税违规异常，识别经营爆雷风险，保障税务合规与经营稳定。
所得税费未足额缴纳：税负明显低于规定水平超过10%
进项税额变动率与销项税额变动率之比：进项税额变动率与销项税额变动率＞1
预收账款对营业收入占比：预收账款对营业收入占比超过30%
营业收入变动率与应纳税额变动率之比：营业收入变动率与应纳税额变动率之比值＞1</t>
  </si>
  <si>
    <t>卷烟销售节奏异常预警</t>
  </si>
  <si>
    <t>按照卷烟品规和卷烟销量表，按月统计销量，将元月数据与其他月份数据对比，按照销售量&gt;1/4,销售额&gt;1/3作为问题。</t>
  </si>
  <si>
    <t>卷烟破损率分析异常预警</t>
  </si>
  <si>
    <t>按照烟草物流数据，以市级单位和年度划分，列出各单位各年度下破损烟总数，以及对应该数据的破损烟破损量可以计算出破损率，再把破损率最高的卷烟品规列示</t>
  </si>
  <si>
    <t>无证经营新办证合规性风险预警</t>
  </si>
  <si>
    <t>基于当事人身份信息，关联许可证办理数据，筛选一年内两次无证经营记录且第二次未处罚、但三年内准予办证的异常对象</t>
  </si>
  <si>
    <t>两金压降-存货压降不实</t>
  </si>
  <si>
    <t>存货类科目半年度或年度最后5天，有大额负数冲销金额，冲销金额占半年度/年度时点总金额的5%以上</t>
  </si>
  <si>
    <t>两金压降-存货未压降</t>
  </si>
  <si>
    <t>存货最末级科目年末-年初金额=0，且年末金额大于等于1000万元</t>
  </si>
  <si>
    <t>两金压降-应收账款原值压降不实</t>
  </si>
  <si>
    <t>逾期应收账款转入长期应收款或其他流动资产</t>
  </si>
  <si>
    <t>两金压降-应收款原值未压降</t>
  </si>
  <si>
    <t>单个客户应收账款期初余额500万元及以上，半年内无发生额或仅有增加额无减少额</t>
  </si>
  <si>
    <t>客户经营异常，应收款发生额持续增加</t>
  </si>
  <si>
    <t>虚增收入-往来款异常核销</t>
  </si>
  <si>
    <t>假设核销流程无误，核销非当年发生的负债类往来款导致营业外收入增加或核销非当年发生的资产类往来款导致以前年度损益减少</t>
  </si>
  <si>
    <t>虚增收入-应递延确认的政府补助一次确认</t>
  </si>
  <si>
    <t>当年度营业外收入达到3000万以上，则将政府补贴的文件中要求的收入确认方式与财务入账进行对比</t>
  </si>
  <si>
    <t>虚增收入-工程项目提前或延后确认收入</t>
  </si>
  <si>
    <t>单项工程过程中确认收入的比例不准确，导致过程毛利率与最后结算毛利率差异很大</t>
  </si>
  <si>
    <t>项目未关闭，该项目合同资产金额占工程总包合同金额比重超20%</t>
  </si>
  <si>
    <t>虚增收入-工程项目虚增收入</t>
  </si>
  <si>
    <t>项目关闭，该项目合同资产（合同结算科目余额为借方）尚有余额</t>
  </si>
  <si>
    <t>虚增收入-产成品单价异常</t>
  </si>
  <si>
    <t>将同类产品的单笔单价与该产品的年均单价对比筛选，单价大于或小于10%的为异常</t>
  </si>
  <si>
    <t>虚减成本-存货结转单价异常</t>
  </si>
  <si>
    <t>当月的存货结转成本小于库存存货成本</t>
  </si>
  <si>
    <t>虚减成本-生产制造类的在建工程推迟转固</t>
  </si>
  <si>
    <t>粗筛期末余额3千万以上，连续2个会计年度发生额小于1百万的在建工程</t>
  </si>
  <si>
    <t>工资结余使用情况预警</t>
  </si>
  <si>
    <t>职工五险一金查询</t>
  </si>
  <si>
    <t>工资明细账查询</t>
  </si>
  <si>
    <t>人员基本信息查看</t>
  </si>
  <si>
    <t>工资明细查询</t>
  </si>
  <si>
    <t>职工教育经费、工会经费计提查询</t>
  </si>
  <si>
    <t>应付职工薪酬的工会经费查询</t>
  </si>
  <si>
    <t>负责人薪酬查询</t>
  </si>
  <si>
    <t>检查资金监管系统中，对公司负责人个人支付流水，分析是否有超标领取的薪酬</t>
  </si>
  <si>
    <t>负责人商业养老保险和医疗保险查询</t>
  </si>
  <si>
    <t>查询财务核算系统中为负责人购保险的凭证查询</t>
  </si>
  <si>
    <t>负责人个人所得税查询</t>
  </si>
  <si>
    <t>负责人个人所得税代扣计提凭证，及代缴凭证</t>
  </si>
  <si>
    <t>负责人福利费管理查询</t>
  </si>
  <si>
    <t>查询福利费支出凭证，并重点筛选领导人补贴</t>
  </si>
  <si>
    <t>领导人是否存在违规发放补贴、多头取酬等情况</t>
  </si>
  <si>
    <t>查询含有补贴，并筛选领导人信息的凭证</t>
  </si>
  <si>
    <t>疑似虚列套取职工教育经费</t>
  </si>
  <si>
    <t>疑似虚列培训天数套取培训费</t>
  </si>
  <si>
    <t>培训费报销金额较高（排列公司同类培训前5）</t>
  </si>
  <si>
    <t>疑似虚列套取培训费</t>
  </si>
  <si>
    <t>疑似培训费费重复报销</t>
  </si>
  <si>
    <t>疑似超比例提取补充医疗保险</t>
  </si>
  <si>
    <t>疑似补充医疗保险资金的提取超过工资总额的4%</t>
  </si>
  <si>
    <t>预算执行</t>
  </si>
  <si>
    <t>预算执行单位汇总</t>
  </si>
  <si>
    <t>预算执行发生明细</t>
  </si>
  <si>
    <t>预算执行归口汇总</t>
  </si>
  <si>
    <t>预算执行综合查询</t>
  </si>
  <si>
    <t>进货、发货、装卸、包装费预算执行超进度</t>
  </si>
  <si>
    <t>根据久其数据对报表项目进货费、发货费、装卸费、包装费的预算数与实际执行数进行比较，检查实际执行超预算情况</t>
  </si>
  <si>
    <t>预算单位执行异常分析</t>
  </si>
  <si>
    <t>按照预算周期、预算单位分析选中单位中执行偏离一定比例的数量。</t>
  </si>
  <si>
    <t>预算指标执行异常分析</t>
  </si>
  <si>
    <t>预算指标执行进度分析</t>
  </si>
  <si>
    <t>按照预算周期、预算指标分析按指标在全省执行进度进行分析。</t>
  </si>
  <si>
    <t>单位重点费用执行进度分析</t>
  </si>
  <si>
    <t>按照预算周期、重点费用、单位编码分析预算的执行年度预算数、累计执行数、执行进度等信息。</t>
  </si>
  <si>
    <t>重点费用执行进度分析</t>
  </si>
  <si>
    <t>按照预算周期分析各单位重点费用的执行情况，包括：业务招待费、会议费、差旅费、办公费、业务宣传费、涉外费、福利房等费用。</t>
  </si>
  <si>
    <t>三项核算费用执行趋势分析</t>
  </si>
  <si>
    <t>预算执行趋势分析</t>
  </si>
  <si>
    <t>单位指标趋势分析</t>
  </si>
  <si>
    <t>单位重点费用指标趋势分析</t>
  </si>
  <si>
    <t>单位指标结构分析</t>
  </si>
  <si>
    <t>单位三项费用执行结构分析</t>
  </si>
  <si>
    <t>预算执行率统计查询</t>
  </si>
  <si>
    <t>支出金额/预算金额，可以根据实际需求按预算指标、部门、科目、支出经济分类等维度分组统计预算执行率。</t>
  </si>
  <si>
    <t>预算编制与调整</t>
  </si>
  <si>
    <t>预算编制与调整按单位汇总</t>
  </si>
  <si>
    <t>预算编制与调整按归口汇总</t>
  </si>
  <si>
    <t>预算编制与调整按指标汇总</t>
  </si>
  <si>
    <t>预算编制与调整综合查询</t>
  </si>
  <si>
    <t>预算收入编制情况分析</t>
  </si>
  <si>
    <t>对部门收入预算编制情况进行结构性、趋势性的分析，考察收入预算的编制是否存在异常变化的情况。对比相关文件资料，检查是否存在“收入预算不完整， 应纳入预算管理的预算外资金收入、经营收入等正常收入未纳入或未全部纳入预算”、“动用上年结余安排本年支出未纳入预算进行管理”等现象。</t>
  </si>
  <si>
    <t>预算支出编制情况分析</t>
  </si>
  <si>
    <t>是否存在“预算编制不完整”、“基本支出预算不真实”、“项目支出预算不符合规定”等预算编制真实性、合法性的现象。</t>
  </si>
  <si>
    <t>预算综合分析</t>
  </si>
  <si>
    <t>各级预算单位年度变化情况</t>
  </si>
  <si>
    <t>分析预算单位数量在机构改革过程中调整的情况，结合部门三定方案和部门预算，掌握预算单位的基本情况。</t>
  </si>
  <si>
    <t>按照预算周期、预算指标、预算单位分析预算的执行年度预算数、累计执行数、执行进度等信息。</t>
  </si>
  <si>
    <t>预算收入费用比分析</t>
  </si>
  <si>
    <t>按照预算周期、预算单位分析全省各单位收入、费用的执行情况。第一页面数据来自核算系统，穿透节点来自预算系统。</t>
  </si>
  <si>
    <t>预算单位执行进度分析</t>
  </si>
  <si>
    <t>全省重点费用执行进度分析</t>
  </si>
  <si>
    <t>报表分析</t>
  </si>
  <si>
    <t>决算报表环比分析</t>
  </si>
  <si>
    <t>近3年的资产负债表、利润表、现金流量表、存货（主体）、应收账款明细表（主体）、存货（补充资料）、应收账款明细表（补充资料） 报表项目环比分析</t>
  </si>
  <si>
    <t>预算报表环比分析</t>
  </si>
  <si>
    <t>近3年的资产负债表、利润表、现金流量表报表环比分析</t>
  </si>
  <si>
    <t>预决算对比分析</t>
  </si>
  <si>
    <t>以决算报表项目为基准，按名称匹配，对资产负债表、利润表、现金流量表 进行单年度对比分析</t>
  </si>
  <si>
    <t>预算执行决算对比分析</t>
  </si>
  <si>
    <t>按期间，按单位，对久其报表项目的预算数，执行数，决算数进行对比，列示差额及比率</t>
  </si>
  <si>
    <t>财务指标多年度查询-决算</t>
  </si>
  <si>
    <t>财务指标多年度查询-预算</t>
  </si>
  <si>
    <t>月报表环比分析</t>
  </si>
  <si>
    <t>资产负债表、利润表、现金流量表 单年度环比分析</t>
  </si>
  <si>
    <t>月报表同比分析</t>
  </si>
  <si>
    <t>资产负债表、利润表、现金流量表 近3年环比分析</t>
  </si>
  <si>
    <t>指标分析</t>
  </si>
  <si>
    <t>财务指标分析</t>
  </si>
  <si>
    <t>财务指标多月份查询分析</t>
  </si>
  <si>
    <t>单个客户信息查询</t>
  </si>
  <si>
    <t>客户基本信息查询</t>
  </si>
  <si>
    <t>对账单查询</t>
  </si>
  <si>
    <t>客户服务历史查询</t>
  </si>
  <si>
    <t>风险排查历史信息查询</t>
  </si>
  <si>
    <t>审计历史信息查询</t>
  </si>
  <si>
    <t>批量客户信息查询</t>
  </si>
  <si>
    <t>客户基本信息组合查询</t>
  </si>
  <si>
    <t>导入批量客户查询客户综合信息</t>
  </si>
  <si>
    <t>从业人员基础信息查询</t>
  </si>
  <si>
    <t>员工资料查询、修改、导入、导出</t>
  </si>
  <si>
    <t>客户经理序列资料查询</t>
  </si>
  <si>
    <t>从业人员电脑设备查询</t>
  </si>
  <si>
    <t>营销渠道资料查询</t>
  </si>
  <si>
    <t>从业人员名下客户汇总</t>
  </si>
  <si>
    <t>客户类指标</t>
  </si>
  <si>
    <t>单只证券高亏损查询</t>
  </si>
  <si>
    <t>账户高亏损查询</t>
  </si>
  <si>
    <t>集中持股查询</t>
  </si>
  <si>
    <t>大额频繁委托查询</t>
  </si>
  <si>
    <t>大额频繁撤单</t>
  </si>
  <si>
    <t>频繁清改密码</t>
  </si>
  <si>
    <t>频繁资金进出</t>
  </si>
  <si>
    <t>清密取款</t>
  </si>
  <si>
    <t>修改账户重要信息</t>
  </si>
  <si>
    <t>业务限制查询</t>
  </si>
  <si>
    <t>业务允许查询</t>
  </si>
  <si>
    <t>重复开户</t>
  </si>
  <si>
    <t>重复确认</t>
  </si>
  <si>
    <t>多户代理查询</t>
  </si>
  <si>
    <t>资料异常客户明细查询</t>
  </si>
  <si>
    <t>开通创业板无风险测评客户查询</t>
  </si>
  <si>
    <t>客户费率利率查询</t>
  </si>
  <si>
    <t>客户柜台委托查询</t>
  </si>
  <si>
    <t>大额转托管撤指定</t>
  </si>
  <si>
    <t>资金股份异常变动</t>
  </si>
  <si>
    <t>客户指标组合查询</t>
  </si>
  <si>
    <t>从业人员指标信息</t>
  </si>
  <si>
    <t>从业人员组合指标查询</t>
  </si>
  <si>
    <t>从业人员名下账户相同联系方式</t>
  </si>
  <si>
    <t>客户联系方式和从业人员相同</t>
  </si>
  <si>
    <t>从业人员重复IP、MAC明细</t>
  </si>
  <si>
    <t>疑似设备操作</t>
  </si>
  <si>
    <t>疑似从业人员电话操作</t>
  </si>
  <si>
    <t>从业人员开户</t>
  </si>
  <si>
    <t>代理人为从业人员</t>
  </si>
  <si>
    <t>统计信息查询</t>
  </si>
  <si>
    <t>客户结构分析</t>
  </si>
  <si>
    <t>渠道开发情况</t>
  </si>
  <si>
    <t>公用站点操作</t>
  </si>
  <si>
    <t>提成统计</t>
  </si>
  <si>
    <t>空户有效户统计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</si>
</sst>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宋体"/>
      <charset val="134"/>
      <scheme val="minor"/>
    </font>
    <font>
      <b/>
      <sz val="10"/>
      <color indexed="8"/>
      <name val="微软雅黑"/>
      <charset val="134"/>
    </font>
    <font>
      <sz val="10"/>
      <name val="Microsoft YaHei"/>
      <charset val="134"/>
    </font>
    <font>
      <sz val="10"/>
      <color theme="1"/>
      <name val="微软雅黑"/>
      <charset val="134"/>
    </font>
    <font>
      <sz val="10"/>
      <color rgb="FF000000"/>
      <name val="微软雅黑"/>
      <charset val="134"/>
    </font>
    <font>
      <sz val="10"/>
      <name val="微软雅黑"/>
      <charset val="134"/>
    </font>
    <font>
      <sz val="10"/>
      <color indexed="8"/>
      <name val="微软雅黑"/>
      <charset val="134"/>
    </font>
    <font>
      <b/>
      <u/>
      <sz val="10"/>
      <color rgb="FF800080"/>
      <name val="微软雅黑"/>
      <charset val="134"/>
    </font>
    <font>
      <b/>
      <sz val="10"/>
      <name val="微软雅黑"/>
      <charset val="134"/>
    </font>
    <font>
      <b/>
      <sz val="10"/>
      <color theme="1"/>
      <name val="微软雅黑"/>
      <charset val="134"/>
    </font>
    <font>
      <sz val="10"/>
      <name val="Arial"/>
      <family val="2"/>
    </font>
    <font>
      <sz val="11"/>
      <color theme="1"/>
      <name val="微软雅黑"/>
      <charset val="134"/>
    </font>
    <font>
      <u/>
      <sz val="11"/>
      <color rgb="FF0000FF"/>
      <name val="宋体"/>
      <charset val="134"/>
      <scheme val="minor"/>
    </font>
    <font>
      <sz val="11"/>
      <color theme="1"/>
      <name val="宋体"/>
      <charset val="134"/>
      <scheme val="minor"/>
    </font>
    <font>
      <sz val="9"/>
      <color theme="1"/>
      <name val="Segoe UI"/>
      <family val="2"/>
    </font>
    <font>
      <sz val="11"/>
      <color theme="0"/>
      <name val="宋体"/>
      <charset val="134"/>
      <scheme val="minor"/>
    </font>
    <font>
      <sz val="9"/>
      <name val="宋体"/>
      <family val="3"/>
      <charset val="134"/>
      <scheme val="minor"/>
    </font>
  </fonts>
  <fills count="5">
    <fill>
      <patternFill patternType="none"/>
    </fill>
    <fill>
      <patternFill patternType="gray125"/>
    </fill>
    <fill>
      <patternFill patternType="solid">
        <fgColor theme="0"/>
        <bgColor indexed="64"/>
      </patternFill>
    </fill>
    <fill>
      <patternFill patternType="solid">
        <fgColor theme="0"/>
        <bgColor rgb="FFDDEBF7"/>
      </patternFill>
    </fill>
    <fill>
      <patternFill patternType="solid">
        <fgColor theme="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rgb="FF000000"/>
      </right>
      <top/>
      <bottom style="thin">
        <color rgb="FF000000"/>
      </bottom>
      <diagonal/>
    </border>
    <border>
      <left/>
      <right/>
      <top/>
      <bottom style="thin">
        <color rgb="FF000000"/>
      </bottom>
      <diagonal/>
    </border>
  </borders>
  <cellStyleXfs count="9">
    <xf numFmtId="0" fontId="0" fillId="0" borderId="0">
      <alignment vertical="center"/>
    </xf>
    <xf numFmtId="0" fontId="12" fillId="0" borderId="0" applyNumberFormat="0" applyFill="0" applyBorder="0" applyAlignment="0" applyProtection="0">
      <alignment vertical="center"/>
    </xf>
    <xf numFmtId="0" fontId="13" fillId="0" borderId="0">
      <alignment vertical="center"/>
    </xf>
    <xf numFmtId="0" fontId="13" fillId="0" borderId="0">
      <alignment vertical="center"/>
    </xf>
    <xf numFmtId="0" fontId="14" fillId="0" borderId="0"/>
    <xf numFmtId="0" fontId="10" fillId="0" borderId="0"/>
    <xf numFmtId="0" fontId="13" fillId="0" borderId="0">
      <alignment vertical="center"/>
    </xf>
    <xf numFmtId="0" fontId="11" fillId="0" borderId="0">
      <alignment vertical="center"/>
    </xf>
    <xf numFmtId="0" fontId="15" fillId="4" borderId="0" applyNumberFormat="0" applyBorder="0" applyAlignment="0" applyProtection="0">
      <alignment vertical="center"/>
    </xf>
  </cellStyleXfs>
  <cellXfs count="106">
    <xf numFmtId="0" fontId="0" fillId="0" borderId="0" xfId="0">
      <alignment vertical="center"/>
    </xf>
    <xf numFmtId="0" fontId="2" fillId="0" borderId="2" xfId="0" applyFont="1" applyBorder="1" applyAlignment="1">
      <alignment vertical="center" wrapText="1"/>
    </xf>
    <xf numFmtId="0" fontId="3"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lignment vertical="center"/>
    </xf>
    <xf numFmtId="0" fontId="3" fillId="0" borderId="0" xfId="0" applyFont="1" applyAlignment="1">
      <alignment horizontal="center" vertical="center"/>
    </xf>
    <xf numFmtId="0" fontId="0" fillId="0" borderId="0" xfId="0" applyAlignment="1">
      <alignment vertical="center" wrapText="1"/>
    </xf>
    <xf numFmtId="0" fontId="3" fillId="0" borderId="1" xfId="0" applyFont="1" applyBorder="1" applyAlignment="1">
      <alignment horizontal="center" vertical="center" wrapText="1"/>
    </xf>
    <xf numFmtId="0" fontId="5"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0" borderId="1" xfId="0" applyFont="1" applyBorder="1" applyAlignment="1">
      <alignment horizontal="left" vertical="center" wrapText="1"/>
    </xf>
    <xf numFmtId="0" fontId="7" fillId="0" borderId="0" xfId="1" applyFont="1" applyFill="1" applyAlignment="1">
      <alignment horizontal="lef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lignment vertical="center"/>
    </xf>
    <xf numFmtId="0" fontId="6" fillId="0" borderId="0" xfId="0" applyFont="1" applyAlignment="1">
      <alignment vertical="center" wrapText="1"/>
    </xf>
    <xf numFmtId="0" fontId="9" fillId="0" borderId="1" xfId="0" applyFont="1" applyBorder="1" applyAlignment="1">
      <alignment horizontal="center" vertical="center"/>
    </xf>
    <xf numFmtId="0" fontId="4" fillId="0" borderId="1" xfId="0" applyFont="1" applyBorder="1" applyAlignment="1">
      <alignment horizontal="left" vertical="center" wrapText="1" readingOrder="1"/>
    </xf>
    <xf numFmtId="0" fontId="5" fillId="0" borderId="1" xfId="0" applyFont="1" applyBorder="1" applyAlignment="1">
      <alignment horizontal="left" vertical="center"/>
    </xf>
    <xf numFmtId="0" fontId="5" fillId="0" borderId="0" xfId="0" applyFont="1" applyAlignment="1"/>
    <xf numFmtId="0" fontId="4" fillId="0" borderId="1" xfId="0" applyFont="1" applyBorder="1" applyAlignment="1">
      <alignment horizontal="left" vertical="center"/>
    </xf>
    <xf numFmtId="0" fontId="7" fillId="0" borderId="1" xfId="1" applyFont="1" applyFill="1" applyBorder="1" applyAlignment="1">
      <alignment horizontal="left" vertical="center" wrapText="1"/>
    </xf>
    <xf numFmtId="0" fontId="0" fillId="0" borderId="1" xfId="0" applyBorder="1">
      <alignment vertical="center"/>
    </xf>
    <xf numFmtId="0" fontId="2" fillId="0" borderId="1" xfId="0" applyFont="1" applyBorder="1" applyAlignment="1">
      <alignment vertical="center" wrapText="1"/>
    </xf>
    <xf numFmtId="0" fontId="3" fillId="0" borderId="0" xfId="3" applyFont="1" applyAlignment="1">
      <alignment horizontal="left" vertical="center"/>
    </xf>
    <xf numFmtId="0" fontId="3" fillId="0" borderId="0" xfId="3" applyFont="1">
      <alignment vertical="center"/>
    </xf>
    <xf numFmtId="0" fontId="8" fillId="0" borderId="1" xfId="8" applyFont="1" applyFill="1" applyBorder="1" applyAlignment="1">
      <alignment horizontal="center" vertical="center"/>
    </xf>
    <xf numFmtId="0" fontId="3" fillId="0" borderId="1" xfId="0" applyFont="1" applyBorder="1" applyAlignment="1">
      <alignment horizontal="justify" vertical="center" wrapText="1"/>
    </xf>
    <xf numFmtId="0" fontId="9" fillId="0" borderId="0" xfId="0" applyFont="1" applyAlignment="1">
      <alignment horizontal="center" vertical="center"/>
    </xf>
    <xf numFmtId="0" fontId="3" fillId="0" borderId="1" xfId="1" applyFont="1" applyFill="1" applyBorder="1" applyAlignment="1">
      <alignment horizontal="justify" vertical="center"/>
    </xf>
    <xf numFmtId="0" fontId="3" fillId="0" borderId="0" xfId="1" applyFont="1" applyFill="1" applyAlignment="1">
      <alignment horizontal="justify" vertical="center"/>
    </xf>
    <xf numFmtId="0" fontId="3" fillId="0" borderId="0" xfId="3" applyFont="1" applyAlignment="1">
      <alignment horizontal="center" vertical="center"/>
    </xf>
    <xf numFmtId="0" fontId="3" fillId="0" borderId="1" xfId="3" applyFont="1" applyBorder="1">
      <alignment vertical="center"/>
    </xf>
    <xf numFmtId="0" fontId="3" fillId="0" borderId="1" xfId="0" applyFont="1" applyBorder="1" applyAlignment="1">
      <alignment horizontal="left"/>
    </xf>
    <xf numFmtId="0" fontId="3" fillId="0" borderId="1" xfId="4" applyFont="1" applyBorder="1" applyAlignment="1">
      <alignment horizontal="left" vertical="center"/>
    </xf>
    <xf numFmtId="0" fontId="3" fillId="0" borderId="1" xfId="0" applyFont="1" applyBorder="1" applyAlignment="1">
      <alignment horizontal="left" wrapText="1"/>
    </xf>
    <xf numFmtId="0" fontId="3" fillId="0" borderId="1" xfId="0" applyFont="1" applyBorder="1" applyAlignment="1">
      <alignment horizontal="center" wrapText="1"/>
    </xf>
    <xf numFmtId="0" fontId="9" fillId="0" borderId="1" xfId="0" applyFont="1" applyBorder="1">
      <alignment vertical="center"/>
    </xf>
    <xf numFmtId="0" fontId="3" fillId="0" borderId="6" xfId="0" applyFont="1" applyBorder="1" applyAlignment="1">
      <alignment vertical="center" wrapText="1"/>
    </xf>
    <xf numFmtId="0" fontId="3" fillId="0" borderId="6" xfId="0" applyFont="1" applyBorder="1" applyAlignment="1">
      <alignment horizontal="justify" vertical="center" wrapText="1"/>
    </xf>
    <xf numFmtId="0" fontId="3" fillId="0" borderId="6" xfId="0" applyFont="1" applyBorder="1">
      <alignment vertical="center"/>
    </xf>
    <xf numFmtId="0" fontId="9" fillId="0" borderId="1" xfId="0" applyFont="1" applyBorder="1" applyAlignment="1">
      <alignment vertical="center" wrapText="1"/>
    </xf>
    <xf numFmtId="0" fontId="4" fillId="3" borderId="6"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6" xfId="0" applyFont="1" applyBorder="1" applyAlignment="1">
      <alignment horizontal="left" vertical="center" wrapText="1"/>
    </xf>
    <xf numFmtId="0" fontId="2" fillId="0" borderId="8" xfId="0" applyFont="1" applyBorder="1" applyAlignment="1">
      <alignment vertical="center" wrapText="1"/>
    </xf>
    <xf numFmtId="0" fontId="3" fillId="0" borderId="1" xfId="5" applyFont="1" applyBorder="1" applyAlignment="1">
      <alignment horizontal="left" vertical="center" wrapText="1"/>
    </xf>
    <xf numFmtId="0" fontId="3" fillId="0" borderId="1" xfId="5" applyFont="1" applyBorder="1" applyAlignment="1">
      <alignment horizontal="center" vertical="center" wrapText="1"/>
    </xf>
    <xf numFmtId="0" fontId="3" fillId="0" borderId="1" xfId="5" applyFont="1" applyBorder="1" applyAlignment="1">
      <alignment vertical="center" wrapText="1"/>
    </xf>
    <xf numFmtId="0" fontId="4" fillId="0" borderId="0" xfId="0" applyFont="1" applyAlignment="1">
      <alignment horizontal="left" vertical="center" wrapText="1"/>
    </xf>
    <xf numFmtId="0" fontId="4" fillId="0" borderId="10" xfId="0" applyFont="1" applyBorder="1" applyAlignment="1">
      <alignment horizontal="left" vertical="center" wrapText="1"/>
    </xf>
    <xf numFmtId="0" fontId="4" fillId="0" borderId="12" xfId="0" applyFont="1" applyBorder="1" applyAlignment="1">
      <alignment horizontal="left" vertical="center" wrapText="1"/>
    </xf>
    <xf numFmtId="0" fontId="4" fillId="0" borderId="14" xfId="0" applyFont="1" applyBorder="1" applyAlignment="1">
      <alignment horizontal="left" vertical="center" wrapText="1"/>
    </xf>
    <xf numFmtId="0" fontId="3" fillId="0" borderId="1" xfId="0" applyFont="1" applyBorder="1" applyAlignment="1">
      <alignment horizontal="center"/>
    </xf>
    <xf numFmtId="0" fontId="11" fillId="0" borderId="0" xfId="0" applyFont="1" applyAlignment="1">
      <alignment vertical="center" wrapText="1"/>
    </xf>
    <xf numFmtId="0" fontId="11" fillId="0" borderId="1" xfId="0" applyFont="1" applyBorder="1" applyAlignment="1">
      <alignment vertical="center" wrapText="1"/>
    </xf>
    <xf numFmtId="0" fontId="3" fillId="0" borderId="0" xfId="0" applyFont="1" applyAlignment="1">
      <alignment horizontal="center"/>
    </xf>
    <xf numFmtId="0" fontId="3" fillId="0" borderId="0" xfId="0" applyFont="1" applyAlignment="1"/>
    <xf numFmtId="0" fontId="4" fillId="0" borderId="1" xfId="0" applyFont="1" applyBorder="1" applyAlignment="1">
      <alignment horizontal="justify" wrapText="1"/>
    </xf>
    <xf numFmtId="0" fontId="3" fillId="0" borderId="1" xfId="0" applyFont="1" applyBorder="1" applyAlignment="1"/>
    <xf numFmtId="0" fontId="6" fillId="0" borderId="0" xfId="0" applyFont="1" applyAlignment="1">
      <alignment horizontal="center" vertical="center" wrapText="1"/>
    </xf>
    <xf numFmtId="0" fontId="3" fillId="0" borderId="3" xfId="0" applyFont="1" applyBorder="1" applyAlignment="1">
      <alignment horizontal="left" vertical="center"/>
    </xf>
    <xf numFmtId="0" fontId="3" fillId="0" borderId="5" xfId="0" applyFont="1" applyBorder="1" applyAlignment="1">
      <alignment horizontal="left" vertical="center"/>
    </xf>
    <xf numFmtId="0" fontId="3" fillId="0" borderId="4" xfId="0" applyFont="1" applyBorder="1" applyAlignment="1">
      <alignment horizontal="left"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6" fillId="0" borderId="3" xfId="0" applyFont="1" applyBorder="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0" fontId="6" fillId="0" borderId="4" xfId="0" applyFont="1" applyBorder="1" applyAlignment="1">
      <alignment vertical="center" wrapText="1"/>
    </xf>
    <xf numFmtId="0" fontId="3" fillId="0" borderId="3" xfId="0" applyFont="1" applyBorder="1">
      <alignment vertical="center"/>
    </xf>
    <xf numFmtId="0" fontId="3" fillId="0" borderId="5" xfId="0" applyFont="1" applyBorder="1">
      <alignment vertical="center"/>
    </xf>
    <xf numFmtId="0" fontId="3" fillId="0" borderId="4" xfId="0" applyFont="1" applyBorder="1">
      <alignment vertical="center"/>
    </xf>
    <xf numFmtId="0" fontId="3" fillId="0" borderId="1" xfId="0" applyFont="1" applyBorder="1" applyAlignment="1">
      <alignment horizontal="center" vertical="center"/>
    </xf>
    <xf numFmtId="0" fontId="11"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4" xfId="0" applyFont="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1" xfId="0" applyFont="1" applyBorder="1" applyAlignment="1">
      <alignment horizontal="left" vertical="center" wrapText="1"/>
    </xf>
    <xf numFmtId="0" fontId="3" fillId="0" borderId="3" xfId="5" applyFont="1" applyBorder="1" applyAlignment="1">
      <alignment horizontal="center" vertical="center" wrapText="1"/>
    </xf>
    <xf numFmtId="0" fontId="3" fillId="0" borderId="5" xfId="5" applyFont="1" applyBorder="1" applyAlignment="1">
      <alignment horizontal="center" vertical="center" wrapText="1"/>
    </xf>
    <xf numFmtId="0" fontId="3" fillId="0" borderId="4" xfId="5" applyFont="1" applyBorder="1" applyAlignment="1">
      <alignment horizontal="center" vertical="center" wrapText="1"/>
    </xf>
    <xf numFmtId="0" fontId="4" fillId="0" borderId="1" xfId="0" applyFont="1" applyBorder="1" applyAlignment="1">
      <alignment horizontal="center" vertical="center" wrapText="1"/>
    </xf>
    <xf numFmtId="0" fontId="4" fillId="0" borderId="13" xfId="0" applyFont="1" applyBorder="1" applyAlignment="1">
      <alignment horizontal="left" vertical="center" wrapText="1"/>
    </xf>
    <xf numFmtId="0" fontId="3" fillId="0" borderId="3" xfId="5" applyFont="1" applyBorder="1" applyAlignment="1">
      <alignment horizontal="left" vertical="center" wrapText="1"/>
    </xf>
    <xf numFmtId="0" fontId="3" fillId="0" borderId="5" xfId="5" applyFont="1" applyBorder="1" applyAlignment="1">
      <alignment horizontal="left" vertical="center" wrapText="1"/>
    </xf>
    <xf numFmtId="0" fontId="3" fillId="0" borderId="4" xfId="5" applyFont="1" applyBorder="1" applyAlignment="1">
      <alignment horizontal="left" vertical="center" wrapText="1"/>
    </xf>
    <xf numFmtId="0" fontId="4" fillId="0" borderId="7" xfId="0" applyFont="1" applyBorder="1" applyAlignment="1">
      <alignment horizontal="left" vertical="center" wrapText="1"/>
    </xf>
    <xf numFmtId="0" fontId="4" fillId="0" borderId="11" xfId="0" applyFont="1" applyBorder="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left" vertical="center"/>
    </xf>
    <xf numFmtId="0" fontId="3" fillId="0" borderId="1" xfId="1" applyFont="1" applyFill="1" applyBorder="1" applyAlignment="1">
      <alignment horizontal="left" vertical="center"/>
    </xf>
  </cellXfs>
  <cellStyles count="9">
    <cellStyle name="常规" xfId="0" builtinId="0"/>
    <cellStyle name="常规 2" xfId="2" xr:uid="{00000000-0005-0000-0000-000031000000}"/>
    <cellStyle name="常规 2 2 2" xfId="3" xr:uid="{00000000-0005-0000-0000-000032000000}"/>
    <cellStyle name="常规 3" xfId="4" xr:uid="{00000000-0005-0000-0000-000033000000}"/>
    <cellStyle name="常规 4" xfId="5" xr:uid="{00000000-0005-0000-0000-000034000000}"/>
    <cellStyle name="常规 5" xfId="6" xr:uid="{00000000-0005-0000-0000-000035000000}"/>
    <cellStyle name="常规 6" xfId="7" xr:uid="{00000000-0005-0000-0000-000036000000}"/>
    <cellStyle name="超链接" xfId="1" builtinId="8"/>
    <cellStyle name="着色 6 2" xfId="8" xr:uid="{00000000-0005-0000-0000-000038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F35"/>
  <sheetViews>
    <sheetView workbookViewId="0">
      <pane ySplit="2" topLeftCell="A3" activePane="bottomLeft" state="frozen"/>
      <selection pane="bottomLeft" activeCell="C43" sqref="C43"/>
    </sheetView>
  </sheetViews>
  <sheetFormatPr baseColWidth="10" defaultColWidth="8.83203125" defaultRowHeight="25" customHeight="1"/>
  <cols>
    <col min="1" max="1" width="5.5" style="67" customWidth="1"/>
    <col min="2" max="2" width="13.1640625" style="22" customWidth="1"/>
    <col min="3" max="3" width="21.33203125" style="22" customWidth="1"/>
    <col min="4" max="4" width="84.83203125" style="22" customWidth="1"/>
    <col min="5" max="5" width="121.5" style="22" customWidth="1"/>
    <col min="6" max="6" width="57.5" style="22" customWidth="1"/>
    <col min="7" max="16384" width="8.83203125" style="22"/>
  </cols>
  <sheetData>
    <row r="1" spans="1:6" ht="25" customHeight="1">
      <c r="A1" s="13" t="s">
        <v>4</v>
      </c>
    </row>
    <row r="2" spans="1:6" ht="25" customHeight="1">
      <c r="A2" s="11" t="s">
        <v>0</v>
      </c>
      <c r="B2" s="11" t="s">
        <v>11</v>
      </c>
      <c r="C2" s="11" t="s">
        <v>12</v>
      </c>
      <c r="D2" s="11" t="s">
        <v>13</v>
      </c>
      <c r="E2" s="11" t="s">
        <v>14</v>
      </c>
      <c r="F2" s="11" t="s">
        <v>15</v>
      </c>
    </row>
    <row r="3" spans="1:6" ht="25" customHeight="1">
      <c r="A3" s="20">
        <f>ROW()-2</f>
        <v>1</v>
      </c>
      <c r="B3" s="74" t="s">
        <v>16</v>
      </c>
      <c r="C3" s="19" t="s">
        <v>17</v>
      </c>
      <c r="D3" s="10" t="s">
        <v>18</v>
      </c>
      <c r="E3" s="19" t="s">
        <v>19</v>
      </c>
      <c r="F3" s="19" t="s">
        <v>20</v>
      </c>
    </row>
    <row r="4" spans="1:6" ht="25" customHeight="1">
      <c r="A4" s="20">
        <f t="shared" ref="A4:A13" si="0">ROW()-2</f>
        <v>2</v>
      </c>
      <c r="B4" s="75"/>
      <c r="C4" s="19" t="s">
        <v>21</v>
      </c>
      <c r="D4" s="19" t="s">
        <v>22</v>
      </c>
      <c r="E4" s="19" t="s">
        <v>23</v>
      </c>
      <c r="F4" s="19"/>
    </row>
    <row r="5" spans="1:6" ht="25" customHeight="1">
      <c r="A5" s="20">
        <f t="shared" si="0"/>
        <v>3</v>
      </c>
      <c r="B5" s="75"/>
      <c r="C5" s="19" t="s">
        <v>24</v>
      </c>
      <c r="D5" s="10" t="s">
        <v>25</v>
      </c>
      <c r="E5" s="19" t="s">
        <v>26</v>
      </c>
      <c r="F5" s="19" t="s">
        <v>27</v>
      </c>
    </row>
    <row r="6" spans="1:6" ht="25" customHeight="1">
      <c r="A6" s="20">
        <f t="shared" si="0"/>
        <v>4</v>
      </c>
      <c r="B6" s="76"/>
      <c r="C6" s="19" t="s">
        <v>28</v>
      </c>
      <c r="D6" s="19" t="s">
        <v>29</v>
      </c>
      <c r="E6" s="19" t="s">
        <v>30</v>
      </c>
      <c r="F6" s="19" t="s">
        <v>31</v>
      </c>
    </row>
    <row r="7" spans="1:6" ht="25" customHeight="1">
      <c r="A7" s="20">
        <f t="shared" si="0"/>
        <v>5</v>
      </c>
      <c r="B7" s="77" t="s">
        <v>32</v>
      </c>
      <c r="C7" s="19" t="s">
        <v>33</v>
      </c>
      <c r="D7" s="10" t="s">
        <v>34</v>
      </c>
      <c r="E7" s="19" t="s">
        <v>35</v>
      </c>
      <c r="F7" s="19" t="s">
        <v>36</v>
      </c>
    </row>
    <row r="8" spans="1:6" ht="25" customHeight="1">
      <c r="A8" s="20">
        <f t="shared" si="0"/>
        <v>6</v>
      </c>
      <c r="B8" s="78"/>
      <c r="C8" s="19" t="s">
        <v>37</v>
      </c>
      <c r="D8" s="19" t="s">
        <v>38</v>
      </c>
      <c r="E8" s="19" t="s">
        <v>39</v>
      </c>
      <c r="F8" s="19"/>
    </row>
    <row r="9" spans="1:6" ht="25" customHeight="1">
      <c r="A9" s="20">
        <f t="shared" si="0"/>
        <v>7</v>
      </c>
      <c r="B9" s="78"/>
      <c r="C9" s="19" t="s">
        <v>40</v>
      </c>
      <c r="D9" s="19" t="s">
        <v>41</v>
      </c>
      <c r="E9" s="19" t="s">
        <v>42</v>
      </c>
      <c r="F9" s="19"/>
    </row>
    <row r="10" spans="1:6" ht="25" customHeight="1">
      <c r="A10" s="20">
        <f t="shared" si="0"/>
        <v>8</v>
      </c>
      <c r="B10" s="78"/>
      <c r="C10" s="19" t="s">
        <v>43</v>
      </c>
      <c r="D10" s="19" t="s">
        <v>44</v>
      </c>
      <c r="E10" s="19" t="s">
        <v>45</v>
      </c>
      <c r="F10" s="19"/>
    </row>
    <row r="11" spans="1:6" ht="25" customHeight="1">
      <c r="A11" s="20">
        <f t="shared" si="0"/>
        <v>9</v>
      </c>
      <c r="B11" s="78"/>
      <c r="C11" s="19" t="s">
        <v>46</v>
      </c>
      <c r="D11" s="19" t="s">
        <v>47</v>
      </c>
      <c r="E11" s="19" t="s">
        <v>48</v>
      </c>
      <c r="F11" s="19"/>
    </row>
    <row r="12" spans="1:6" ht="25" customHeight="1">
      <c r="A12" s="20">
        <f t="shared" si="0"/>
        <v>10</v>
      </c>
      <c r="B12" s="78"/>
      <c r="C12" s="19" t="s">
        <v>49</v>
      </c>
      <c r="D12" s="19" t="s">
        <v>50</v>
      </c>
      <c r="E12" s="19" t="s">
        <v>51</v>
      </c>
      <c r="F12" s="19"/>
    </row>
    <row r="13" spans="1:6" ht="25" customHeight="1">
      <c r="A13" s="20">
        <f t="shared" si="0"/>
        <v>11</v>
      </c>
      <c r="B13" s="79"/>
      <c r="C13" s="21" t="s">
        <v>52</v>
      </c>
      <c r="D13" s="19" t="s">
        <v>53</v>
      </c>
      <c r="E13" s="19" t="s">
        <v>54</v>
      </c>
      <c r="F13" s="19" t="s">
        <v>55</v>
      </c>
    </row>
    <row r="14" spans="1:6" ht="25" customHeight="1">
      <c r="A14" s="20">
        <f t="shared" ref="A14:A23" si="1">ROW()-2</f>
        <v>12</v>
      </c>
      <c r="B14" s="77" t="s">
        <v>56</v>
      </c>
      <c r="C14" s="21" t="s">
        <v>57</v>
      </c>
      <c r="D14" s="19" t="s">
        <v>58</v>
      </c>
      <c r="E14" s="19" t="s">
        <v>59</v>
      </c>
      <c r="F14" s="19"/>
    </row>
    <row r="15" spans="1:6" ht="25" customHeight="1">
      <c r="A15" s="20">
        <f t="shared" si="1"/>
        <v>13</v>
      </c>
      <c r="B15" s="78"/>
      <c r="C15" s="19" t="s">
        <v>60</v>
      </c>
      <c r="D15" s="10" t="s">
        <v>61</v>
      </c>
      <c r="E15" s="19" t="s">
        <v>62</v>
      </c>
      <c r="F15" s="19" t="s">
        <v>63</v>
      </c>
    </row>
    <row r="16" spans="1:6" ht="25" customHeight="1">
      <c r="A16" s="20">
        <f t="shared" si="1"/>
        <v>14</v>
      </c>
      <c r="B16" s="78"/>
      <c r="C16" s="19" t="s">
        <v>64</v>
      </c>
      <c r="D16" s="10" t="s">
        <v>65</v>
      </c>
      <c r="E16" s="19" t="s">
        <v>66</v>
      </c>
      <c r="F16" s="19" t="s">
        <v>67</v>
      </c>
    </row>
    <row r="17" spans="1:6" ht="25" customHeight="1">
      <c r="A17" s="20">
        <f t="shared" si="1"/>
        <v>15</v>
      </c>
      <c r="B17" s="78"/>
      <c r="C17" s="19" t="s">
        <v>68</v>
      </c>
      <c r="D17" s="10" t="s">
        <v>69</v>
      </c>
      <c r="E17" s="19" t="s">
        <v>70</v>
      </c>
      <c r="F17" s="19" t="s">
        <v>71</v>
      </c>
    </row>
    <row r="18" spans="1:6" ht="25" customHeight="1">
      <c r="A18" s="20">
        <f t="shared" si="1"/>
        <v>16</v>
      </c>
      <c r="B18" s="78"/>
      <c r="C18" s="19" t="s">
        <v>72</v>
      </c>
      <c r="D18" s="19" t="s">
        <v>73</v>
      </c>
      <c r="E18" s="19" t="s">
        <v>74</v>
      </c>
      <c r="F18" s="19"/>
    </row>
    <row r="19" spans="1:6" ht="25" customHeight="1">
      <c r="A19" s="20">
        <f t="shared" si="1"/>
        <v>17</v>
      </c>
      <c r="B19" s="78"/>
      <c r="C19" s="19" t="s">
        <v>75</v>
      </c>
      <c r="D19" s="19" t="s">
        <v>76</v>
      </c>
      <c r="E19" s="19" t="s">
        <v>77</v>
      </c>
      <c r="F19" s="19"/>
    </row>
    <row r="20" spans="1:6" ht="25" customHeight="1">
      <c r="A20" s="20">
        <f t="shared" si="1"/>
        <v>18</v>
      </c>
      <c r="B20" s="78"/>
      <c r="C20" s="19" t="s">
        <v>78</v>
      </c>
      <c r="D20" s="19" t="s">
        <v>79</v>
      </c>
      <c r="E20" s="19" t="s">
        <v>80</v>
      </c>
      <c r="F20" s="19"/>
    </row>
    <row r="21" spans="1:6" ht="25" customHeight="1">
      <c r="A21" s="20">
        <f t="shared" si="1"/>
        <v>19</v>
      </c>
      <c r="B21" s="78"/>
      <c r="C21" s="19" t="s">
        <v>81</v>
      </c>
      <c r="D21" s="10" t="s">
        <v>82</v>
      </c>
      <c r="E21" s="19" t="s">
        <v>83</v>
      </c>
      <c r="F21" s="19" t="s">
        <v>84</v>
      </c>
    </row>
    <row r="22" spans="1:6" ht="25" customHeight="1">
      <c r="A22" s="20">
        <f t="shared" si="1"/>
        <v>20</v>
      </c>
      <c r="B22" s="78"/>
      <c r="C22" s="19" t="s">
        <v>85</v>
      </c>
      <c r="D22" s="10" t="s">
        <v>86</v>
      </c>
      <c r="E22" s="19" t="s">
        <v>87</v>
      </c>
      <c r="F22" s="19" t="s">
        <v>88</v>
      </c>
    </row>
    <row r="23" spans="1:6" ht="25" customHeight="1">
      <c r="A23" s="20">
        <f t="shared" si="1"/>
        <v>21</v>
      </c>
      <c r="B23" s="78"/>
      <c r="C23" s="19" t="s">
        <v>89</v>
      </c>
      <c r="D23" s="19" t="s">
        <v>90</v>
      </c>
      <c r="E23" s="19" t="s">
        <v>91</v>
      </c>
      <c r="F23" s="19" t="s">
        <v>92</v>
      </c>
    </row>
    <row r="24" spans="1:6" ht="25" customHeight="1">
      <c r="A24" s="20">
        <f t="shared" ref="A24:A28" si="2">ROW()-2</f>
        <v>22</v>
      </c>
      <c r="B24" s="78"/>
      <c r="C24" s="19" t="s">
        <v>93</v>
      </c>
      <c r="D24" s="19" t="s">
        <v>94</v>
      </c>
      <c r="E24" s="19" t="s">
        <v>95</v>
      </c>
      <c r="F24" s="19" t="s">
        <v>96</v>
      </c>
    </row>
    <row r="25" spans="1:6" ht="25" customHeight="1">
      <c r="A25" s="20">
        <f t="shared" si="2"/>
        <v>23</v>
      </c>
      <c r="B25" s="78"/>
      <c r="C25" s="19" t="s">
        <v>97</v>
      </c>
      <c r="D25" s="19" t="s">
        <v>98</v>
      </c>
      <c r="E25" s="19" t="s">
        <v>99</v>
      </c>
      <c r="F25" s="19" t="s">
        <v>100</v>
      </c>
    </row>
    <row r="26" spans="1:6" ht="25" customHeight="1">
      <c r="A26" s="20">
        <f t="shared" si="2"/>
        <v>24</v>
      </c>
      <c r="B26" s="78"/>
      <c r="C26" s="19" t="s">
        <v>101</v>
      </c>
      <c r="D26" s="19" t="s">
        <v>102</v>
      </c>
      <c r="E26" s="19" t="s">
        <v>103</v>
      </c>
      <c r="F26" s="19" t="s">
        <v>104</v>
      </c>
    </row>
    <row r="27" spans="1:6" ht="25" customHeight="1">
      <c r="A27" s="20">
        <f t="shared" si="2"/>
        <v>25</v>
      </c>
      <c r="B27" s="78"/>
      <c r="C27" s="19" t="s">
        <v>105</v>
      </c>
      <c r="D27" s="19" t="s">
        <v>106</v>
      </c>
      <c r="E27" s="19" t="s">
        <v>107</v>
      </c>
      <c r="F27" s="19" t="s">
        <v>108</v>
      </c>
    </row>
    <row r="28" spans="1:6" ht="25" customHeight="1">
      <c r="A28" s="20">
        <f t="shared" si="2"/>
        <v>26</v>
      </c>
      <c r="B28" s="79"/>
      <c r="C28" s="19" t="s">
        <v>109</v>
      </c>
      <c r="D28" s="19" t="s">
        <v>110</v>
      </c>
      <c r="E28" s="19" t="s">
        <v>111</v>
      </c>
      <c r="F28" s="19"/>
    </row>
    <row r="29" spans="1:6" ht="25" customHeight="1">
      <c r="A29" s="20">
        <f t="shared" ref="A29:A35" si="3">ROW()-2</f>
        <v>27</v>
      </c>
      <c r="B29" s="77" t="s">
        <v>113</v>
      </c>
      <c r="C29" s="19" t="s">
        <v>114</v>
      </c>
      <c r="D29" s="19" t="s">
        <v>115</v>
      </c>
      <c r="E29" s="19" t="s">
        <v>116</v>
      </c>
      <c r="F29" s="19" t="s">
        <v>117</v>
      </c>
    </row>
    <row r="30" spans="1:6" ht="25" customHeight="1">
      <c r="A30" s="20">
        <f t="shared" si="3"/>
        <v>28</v>
      </c>
      <c r="B30" s="78"/>
      <c r="C30" s="19" t="s">
        <v>118</v>
      </c>
      <c r="D30" s="19" t="s">
        <v>119</v>
      </c>
      <c r="E30" s="19" t="s">
        <v>120</v>
      </c>
      <c r="F30" s="19" t="s">
        <v>112</v>
      </c>
    </row>
    <row r="31" spans="1:6" ht="25" customHeight="1">
      <c r="A31" s="20">
        <f t="shared" si="3"/>
        <v>29</v>
      </c>
      <c r="B31" s="78"/>
      <c r="C31" s="19" t="s">
        <v>121</v>
      </c>
      <c r="D31" s="19" t="s">
        <v>122</v>
      </c>
      <c r="E31" s="19" t="s">
        <v>123</v>
      </c>
      <c r="F31" s="19"/>
    </row>
    <row r="32" spans="1:6" ht="25" customHeight="1">
      <c r="A32" s="20">
        <f t="shared" si="3"/>
        <v>30</v>
      </c>
      <c r="B32" s="78"/>
      <c r="C32" s="19" t="s">
        <v>124</v>
      </c>
      <c r="D32" s="19" t="s">
        <v>122</v>
      </c>
      <c r="E32" s="19" t="s">
        <v>125</v>
      </c>
      <c r="F32" s="19" t="s">
        <v>126</v>
      </c>
    </row>
    <row r="33" spans="1:6" ht="25" customHeight="1">
      <c r="A33" s="20">
        <f t="shared" si="3"/>
        <v>31</v>
      </c>
      <c r="B33" s="78"/>
      <c r="C33" s="19" t="s">
        <v>127</v>
      </c>
      <c r="D33" s="19" t="s">
        <v>128</v>
      </c>
      <c r="E33" s="19" t="s">
        <v>129</v>
      </c>
      <c r="F33" s="19" t="s">
        <v>130</v>
      </c>
    </row>
    <row r="34" spans="1:6" ht="25" customHeight="1">
      <c r="A34" s="20">
        <f t="shared" si="3"/>
        <v>32</v>
      </c>
      <c r="B34" s="78"/>
      <c r="C34" s="19" t="s">
        <v>131</v>
      </c>
      <c r="D34" s="19" t="s">
        <v>132</v>
      </c>
      <c r="E34" s="19" t="s">
        <v>133</v>
      </c>
      <c r="F34" s="19" t="s">
        <v>134</v>
      </c>
    </row>
    <row r="35" spans="1:6" ht="25" customHeight="1">
      <c r="A35" s="20">
        <f t="shared" si="3"/>
        <v>33</v>
      </c>
      <c r="B35" s="79"/>
      <c r="C35" s="19" t="s">
        <v>135</v>
      </c>
      <c r="D35" s="19" t="s">
        <v>136</v>
      </c>
      <c r="E35" s="19" t="s">
        <v>137</v>
      </c>
      <c r="F35" s="19" t="s">
        <v>138</v>
      </c>
    </row>
  </sheetData>
  <mergeCells count="4">
    <mergeCell ref="B3:B6"/>
    <mergeCell ref="B7:B13"/>
    <mergeCell ref="B14:B28"/>
    <mergeCell ref="B29:B35"/>
  </mergeCells>
  <phoneticPr fontId="16" type="noConversion"/>
  <hyperlinks>
    <hyperlink ref="A1" location="目录!A1" display="返回" xr:uid="{00000000-0004-0000-02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E55"/>
  <sheetViews>
    <sheetView workbookViewId="0">
      <pane ySplit="2" topLeftCell="A46" activePane="bottomLeft" state="frozen"/>
      <selection pane="bottomLeft" activeCell="C67" sqref="C67"/>
    </sheetView>
  </sheetViews>
  <sheetFormatPr baseColWidth="10" defaultColWidth="8.83203125" defaultRowHeight="25" customHeight="1"/>
  <cols>
    <col min="1" max="1" width="5.1640625" style="63" customWidth="1"/>
    <col min="2" max="2" width="9.1640625" style="64" customWidth="1"/>
    <col min="3" max="3" width="40.5" style="64" customWidth="1"/>
    <col min="4" max="4" width="140.83203125" style="64" customWidth="1"/>
    <col min="5" max="5" width="16.1640625" style="64" customWidth="1"/>
    <col min="6" max="16384" width="8.83203125" style="64"/>
  </cols>
  <sheetData>
    <row r="1" spans="1:5" ht="25" customHeight="1">
      <c r="A1" s="13" t="s">
        <v>4</v>
      </c>
    </row>
    <row r="2" spans="1:5" s="2" customFormat="1" ht="25" customHeight="1">
      <c r="A2" s="23" t="s">
        <v>0</v>
      </c>
      <c r="B2" s="23" t="s">
        <v>5</v>
      </c>
      <c r="C2" s="44" t="s">
        <v>6</v>
      </c>
      <c r="D2" s="44" t="s">
        <v>7</v>
      </c>
      <c r="E2" s="44" t="s">
        <v>8</v>
      </c>
    </row>
    <row r="3" spans="1:5" ht="25" customHeight="1">
      <c r="A3" s="60">
        <f t="shared" ref="A3:A10" si="0">ROW()-2</f>
        <v>1</v>
      </c>
      <c r="B3" s="68" t="s">
        <v>139</v>
      </c>
      <c r="C3" s="18" t="s">
        <v>140</v>
      </c>
      <c r="D3" s="18" t="s">
        <v>141</v>
      </c>
      <c r="E3" s="18" t="s">
        <v>142</v>
      </c>
    </row>
    <row r="4" spans="1:5" ht="25" customHeight="1">
      <c r="A4" s="60">
        <f t="shared" si="0"/>
        <v>2</v>
      </c>
      <c r="B4" s="69"/>
      <c r="C4" s="18" t="s">
        <v>143</v>
      </c>
      <c r="D4" s="18" t="s">
        <v>144</v>
      </c>
      <c r="E4" s="18" t="s">
        <v>145</v>
      </c>
    </row>
    <row r="5" spans="1:5" ht="25" customHeight="1">
      <c r="A5" s="60">
        <f t="shared" si="0"/>
        <v>3</v>
      </c>
      <c r="B5" s="69"/>
      <c r="C5" s="18" t="s">
        <v>146</v>
      </c>
      <c r="D5" s="18" t="s">
        <v>147</v>
      </c>
      <c r="E5" s="18" t="s">
        <v>148</v>
      </c>
    </row>
    <row r="6" spans="1:5" ht="25" customHeight="1">
      <c r="A6" s="60">
        <f t="shared" si="0"/>
        <v>4</v>
      </c>
      <c r="B6" s="69"/>
      <c r="C6" s="18" t="s">
        <v>149</v>
      </c>
      <c r="D6" s="18" t="s">
        <v>150</v>
      </c>
      <c r="E6" s="18" t="s">
        <v>151</v>
      </c>
    </row>
    <row r="7" spans="1:5" ht="25" customHeight="1">
      <c r="A7" s="60">
        <f t="shared" si="0"/>
        <v>5</v>
      </c>
      <c r="B7" s="69"/>
      <c r="C7" s="18" t="s">
        <v>152</v>
      </c>
      <c r="D7" s="18" t="s">
        <v>153</v>
      </c>
      <c r="E7" s="18" t="s">
        <v>154</v>
      </c>
    </row>
    <row r="8" spans="1:5" ht="25" customHeight="1">
      <c r="A8" s="60">
        <f t="shared" si="0"/>
        <v>6</v>
      </c>
      <c r="B8" s="69"/>
      <c r="C8" s="18" t="s">
        <v>155</v>
      </c>
      <c r="D8" s="18" t="s">
        <v>156</v>
      </c>
      <c r="E8" s="18" t="s">
        <v>157</v>
      </c>
    </row>
    <row r="9" spans="1:5" ht="25" customHeight="1">
      <c r="A9" s="60">
        <f t="shared" si="0"/>
        <v>7</v>
      </c>
      <c r="B9" s="69"/>
      <c r="C9" s="18" t="s">
        <v>158</v>
      </c>
      <c r="D9" s="18" t="s">
        <v>159</v>
      </c>
      <c r="E9" s="18" t="s">
        <v>142</v>
      </c>
    </row>
    <row r="10" spans="1:5" ht="25" customHeight="1">
      <c r="A10" s="60">
        <f t="shared" si="0"/>
        <v>8</v>
      </c>
      <c r="B10" s="69"/>
      <c r="C10" s="18" t="s">
        <v>160</v>
      </c>
      <c r="D10" s="18" t="s">
        <v>161</v>
      </c>
      <c r="E10" s="18" t="s">
        <v>157</v>
      </c>
    </row>
    <row r="11" spans="1:5" ht="25" customHeight="1">
      <c r="A11" s="60">
        <f t="shared" ref="A11:A23" si="1">ROW()-2</f>
        <v>9</v>
      </c>
      <c r="B11" s="69"/>
      <c r="C11" s="18" t="s">
        <v>162</v>
      </c>
      <c r="D11" s="18" t="s">
        <v>163</v>
      </c>
      <c r="E11" s="18" t="s">
        <v>142</v>
      </c>
    </row>
    <row r="12" spans="1:5" ht="25" customHeight="1">
      <c r="A12" s="60">
        <f t="shared" si="1"/>
        <v>10</v>
      </c>
      <c r="B12" s="69"/>
      <c r="C12" s="65" t="s">
        <v>164</v>
      </c>
      <c r="D12" s="65" t="s">
        <v>165</v>
      </c>
      <c r="E12" s="66" t="s">
        <v>3</v>
      </c>
    </row>
    <row r="13" spans="1:5" ht="25" customHeight="1">
      <c r="A13" s="60">
        <f t="shared" si="1"/>
        <v>11</v>
      </c>
      <c r="B13" s="69"/>
      <c r="C13" s="65" t="s">
        <v>166</v>
      </c>
      <c r="D13" s="65" t="s">
        <v>167</v>
      </c>
      <c r="E13" s="66" t="s">
        <v>3</v>
      </c>
    </row>
    <row r="14" spans="1:5" ht="25" customHeight="1">
      <c r="A14" s="60">
        <f t="shared" si="1"/>
        <v>12</v>
      </c>
      <c r="B14" s="69"/>
      <c r="C14" s="65" t="s">
        <v>168</v>
      </c>
      <c r="D14" s="65" t="s">
        <v>169</v>
      </c>
      <c r="E14" s="66" t="s">
        <v>3</v>
      </c>
    </row>
    <row r="15" spans="1:5" ht="25" customHeight="1">
      <c r="A15" s="60">
        <f t="shared" si="1"/>
        <v>13</v>
      </c>
      <c r="B15" s="69"/>
      <c r="C15" s="65" t="s">
        <v>170</v>
      </c>
      <c r="D15" s="65" t="s">
        <v>171</v>
      </c>
      <c r="E15" s="66" t="s">
        <v>3</v>
      </c>
    </row>
    <row r="16" spans="1:5" ht="25" customHeight="1">
      <c r="A16" s="60">
        <f t="shared" si="1"/>
        <v>14</v>
      </c>
      <c r="B16" s="69"/>
      <c r="C16" s="5" t="s">
        <v>172</v>
      </c>
      <c r="D16" s="5" t="s">
        <v>173</v>
      </c>
      <c r="E16" s="5" t="s">
        <v>3</v>
      </c>
    </row>
    <row r="17" spans="1:5" ht="25" customHeight="1">
      <c r="A17" s="60">
        <f t="shared" si="1"/>
        <v>15</v>
      </c>
      <c r="B17" s="69"/>
      <c r="C17" s="42" t="s">
        <v>174</v>
      </c>
      <c r="D17" s="42" t="s">
        <v>175</v>
      </c>
      <c r="E17" s="66" t="s">
        <v>3</v>
      </c>
    </row>
    <row r="18" spans="1:5" ht="25" customHeight="1">
      <c r="A18" s="60">
        <f t="shared" si="1"/>
        <v>16</v>
      </c>
      <c r="B18" s="69"/>
      <c r="C18" s="42" t="s">
        <v>176</v>
      </c>
      <c r="D18" s="42" t="s">
        <v>177</v>
      </c>
      <c r="E18" s="66" t="s">
        <v>3</v>
      </c>
    </row>
    <row r="19" spans="1:5" ht="25" customHeight="1">
      <c r="A19" s="60">
        <f t="shared" si="1"/>
        <v>17</v>
      </c>
      <c r="B19" s="69"/>
      <c r="C19" s="42" t="s">
        <v>178</v>
      </c>
      <c r="D19" s="42" t="s">
        <v>179</v>
      </c>
      <c r="E19" s="66" t="s">
        <v>3</v>
      </c>
    </row>
    <row r="20" spans="1:5" ht="25" customHeight="1">
      <c r="A20" s="60">
        <f t="shared" si="1"/>
        <v>18</v>
      </c>
      <c r="B20" s="69"/>
      <c r="C20" s="42" t="s">
        <v>180</v>
      </c>
      <c r="D20" s="42" t="s">
        <v>181</v>
      </c>
      <c r="E20" s="66" t="s">
        <v>3</v>
      </c>
    </row>
    <row r="21" spans="1:5" ht="25" customHeight="1">
      <c r="A21" s="60">
        <f t="shared" si="1"/>
        <v>19</v>
      </c>
      <c r="B21" s="70"/>
      <c r="C21" s="42" t="s">
        <v>182</v>
      </c>
      <c r="D21" s="42" t="s">
        <v>183</v>
      </c>
      <c r="E21" s="66" t="s">
        <v>3</v>
      </c>
    </row>
    <row r="22" spans="1:5" ht="25" customHeight="1">
      <c r="A22" s="60">
        <f t="shared" si="1"/>
        <v>20</v>
      </c>
      <c r="B22" s="80" t="s">
        <v>184</v>
      </c>
      <c r="C22" s="18" t="s">
        <v>185</v>
      </c>
      <c r="D22" s="18" t="s">
        <v>186</v>
      </c>
      <c r="E22" s="18" t="s">
        <v>187</v>
      </c>
    </row>
    <row r="23" spans="1:5" ht="25" customHeight="1">
      <c r="A23" s="60">
        <f t="shared" si="1"/>
        <v>21</v>
      </c>
      <c r="B23" s="81"/>
      <c r="C23" s="18" t="s">
        <v>188</v>
      </c>
      <c r="D23" s="18" t="s">
        <v>189</v>
      </c>
      <c r="E23" s="18" t="s">
        <v>190</v>
      </c>
    </row>
    <row r="24" spans="1:5" ht="25" customHeight="1">
      <c r="A24" s="60">
        <f t="shared" ref="A24:A34" si="2">ROW()-2</f>
        <v>22</v>
      </c>
      <c r="B24" s="81"/>
      <c r="C24" s="18" t="s">
        <v>191</v>
      </c>
      <c r="D24" s="18" t="s">
        <v>192</v>
      </c>
      <c r="E24" s="18" t="s">
        <v>154</v>
      </c>
    </row>
    <row r="25" spans="1:5" ht="25" customHeight="1">
      <c r="A25" s="60">
        <f t="shared" si="2"/>
        <v>23</v>
      </c>
      <c r="B25" s="81"/>
      <c r="C25" s="18" t="s">
        <v>193</v>
      </c>
      <c r="D25" s="18" t="s">
        <v>194</v>
      </c>
      <c r="E25" s="18" t="s">
        <v>187</v>
      </c>
    </row>
    <row r="26" spans="1:5" ht="25" customHeight="1">
      <c r="A26" s="60">
        <f t="shared" si="2"/>
        <v>24</v>
      </c>
      <c r="B26" s="81"/>
      <c r="C26" s="71" t="s">
        <v>195</v>
      </c>
      <c r="D26" s="18" t="s">
        <v>196</v>
      </c>
      <c r="E26" s="18" t="s">
        <v>187</v>
      </c>
    </row>
    <row r="27" spans="1:5" ht="25" customHeight="1">
      <c r="A27" s="60">
        <f t="shared" si="2"/>
        <v>25</v>
      </c>
      <c r="B27" s="81"/>
      <c r="C27" s="73"/>
      <c r="D27" s="18" t="s">
        <v>197</v>
      </c>
      <c r="E27" s="18" t="s">
        <v>187</v>
      </c>
    </row>
    <row r="28" spans="1:5" ht="25" customHeight="1">
      <c r="A28" s="60">
        <f t="shared" si="2"/>
        <v>26</v>
      </c>
      <c r="B28" s="81"/>
      <c r="C28" s="72"/>
      <c r="D28" s="18" t="s">
        <v>198</v>
      </c>
      <c r="E28" s="18" t="s">
        <v>187</v>
      </c>
    </row>
    <row r="29" spans="1:5" ht="25" customHeight="1">
      <c r="A29" s="60">
        <f t="shared" si="2"/>
        <v>27</v>
      </c>
      <c r="B29" s="81"/>
      <c r="C29" s="18" t="s">
        <v>199</v>
      </c>
      <c r="D29" s="18" t="s">
        <v>200</v>
      </c>
      <c r="E29" s="18" t="s">
        <v>187</v>
      </c>
    </row>
    <row r="30" spans="1:5" ht="25" customHeight="1">
      <c r="A30" s="60">
        <f t="shared" si="2"/>
        <v>28</v>
      </c>
      <c r="B30" s="81"/>
      <c r="C30" s="71" t="s">
        <v>201</v>
      </c>
      <c r="D30" s="18" t="s">
        <v>202</v>
      </c>
      <c r="E30" s="18" t="s">
        <v>187</v>
      </c>
    </row>
    <row r="31" spans="1:5" ht="25" customHeight="1">
      <c r="A31" s="60">
        <f t="shared" si="2"/>
        <v>29</v>
      </c>
      <c r="B31" s="81"/>
      <c r="C31" s="72"/>
      <c r="D31" s="18" t="s">
        <v>203</v>
      </c>
      <c r="E31" s="18" t="s">
        <v>187</v>
      </c>
    </row>
    <row r="32" spans="1:5" ht="25" customHeight="1">
      <c r="A32" s="60">
        <f t="shared" si="2"/>
        <v>30</v>
      </c>
      <c r="B32" s="81"/>
      <c r="C32" s="18" t="s">
        <v>204</v>
      </c>
      <c r="D32" s="18" t="s">
        <v>205</v>
      </c>
      <c r="E32" s="18" t="s">
        <v>187</v>
      </c>
    </row>
    <row r="33" spans="1:5" ht="25" customHeight="1">
      <c r="A33" s="60">
        <f t="shared" si="2"/>
        <v>31</v>
      </c>
      <c r="B33" s="81"/>
      <c r="C33" s="18" t="s">
        <v>206</v>
      </c>
      <c r="D33" s="18" t="s">
        <v>207</v>
      </c>
      <c r="E33" s="18" t="s">
        <v>187</v>
      </c>
    </row>
    <row r="34" spans="1:5" ht="25" customHeight="1">
      <c r="A34" s="60">
        <f t="shared" si="2"/>
        <v>32</v>
      </c>
      <c r="B34" s="82"/>
      <c r="C34" s="18" t="s">
        <v>193</v>
      </c>
      <c r="D34" s="18" t="s">
        <v>208</v>
      </c>
      <c r="E34" s="18" t="s">
        <v>154</v>
      </c>
    </row>
    <row r="35" spans="1:5" ht="25" customHeight="1">
      <c r="A35" s="60">
        <f t="shared" ref="A35:A55" si="3">ROW()-2</f>
        <v>33</v>
      </c>
      <c r="B35" s="71" t="s">
        <v>209</v>
      </c>
      <c r="C35" s="5" t="s">
        <v>210</v>
      </c>
      <c r="D35" s="5" t="s">
        <v>210</v>
      </c>
      <c r="E35" s="4" t="s">
        <v>142</v>
      </c>
    </row>
    <row r="36" spans="1:5" ht="25" customHeight="1">
      <c r="A36" s="60">
        <f t="shared" si="3"/>
        <v>34</v>
      </c>
      <c r="B36" s="73"/>
      <c r="C36" s="5" t="s">
        <v>211</v>
      </c>
      <c r="D36" s="5" t="s">
        <v>211</v>
      </c>
      <c r="E36" s="4" t="s">
        <v>142</v>
      </c>
    </row>
    <row r="37" spans="1:5" ht="25" customHeight="1">
      <c r="A37" s="60">
        <f t="shared" si="3"/>
        <v>35</v>
      </c>
      <c r="B37" s="73"/>
      <c r="C37" s="5" t="s">
        <v>212</v>
      </c>
      <c r="D37" s="5" t="s">
        <v>212</v>
      </c>
      <c r="E37" s="4" t="s">
        <v>142</v>
      </c>
    </row>
    <row r="38" spans="1:5" ht="25" customHeight="1">
      <c r="A38" s="60">
        <f t="shared" si="3"/>
        <v>36</v>
      </c>
      <c r="B38" s="73"/>
      <c r="C38" s="5" t="s">
        <v>213</v>
      </c>
      <c r="D38" s="5" t="s">
        <v>213</v>
      </c>
      <c r="E38" s="4" t="s">
        <v>142</v>
      </c>
    </row>
    <row r="39" spans="1:5" ht="25" customHeight="1">
      <c r="A39" s="60">
        <f t="shared" si="3"/>
        <v>37</v>
      </c>
      <c r="B39" s="73"/>
      <c r="C39" s="5" t="s">
        <v>214</v>
      </c>
      <c r="D39" s="5" t="s">
        <v>214</v>
      </c>
      <c r="E39" s="4" t="s">
        <v>142</v>
      </c>
    </row>
    <row r="40" spans="1:5" ht="25" customHeight="1">
      <c r="A40" s="60">
        <f t="shared" si="3"/>
        <v>38</v>
      </c>
      <c r="B40" s="73"/>
      <c r="C40" s="5" t="s">
        <v>215</v>
      </c>
      <c r="D40" s="5" t="s">
        <v>215</v>
      </c>
      <c r="E40" s="4" t="s">
        <v>142</v>
      </c>
    </row>
    <row r="41" spans="1:5" ht="25" customHeight="1">
      <c r="A41" s="60">
        <f t="shared" si="3"/>
        <v>39</v>
      </c>
      <c r="B41" s="72"/>
      <c r="C41" s="5" t="s">
        <v>216</v>
      </c>
      <c r="D41" s="29"/>
      <c r="E41" s="4" t="s">
        <v>157</v>
      </c>
    </row>
    <row r="42" spans="1:5" ht="25" customHeight="1">
      <c r="A42" s="60">
        <f t="shared" si="3"/>
        <v>40</v>
      </c>
      <c r="B42" s="83" t="s">
        <v>217</v>
      </c>
      <c r="C42" s="5" t="s">
        <v>218</v>
      </c>
      <c r="D42" s="5" t="s">
        <v>219</v>
      </c>
      <c r="E42" s="17" t="s">
        <v>220</v>
      </c>
    </row>
    <row r="43" spans="1:5" ht="25" customHeight="1">
      <c r="A43" s="60">
        <f t="shared" si="3"/>
        <v>41</v>
      </c>
      <c r="B43" s="83"/>
      <c r="C43" s="34" t="s">
        <v>221</v>
      </c>
      <c r="D43" s="34" t="s">
        <v>222</v>
      </c>
      <c r="E43" s="17" t="s">
        <v>220</v>
      </c>
    </row>
    <row r="44" spans="1:5" ht="25" customHeight="1">
      <c r="A44" s="60">
        <f t="shared" si="3"/>
        <v>42</v>
      </c>
      <c r="B44" s="83"/>
      <c r="C44" s="34" t="s">
        <v>223</v>
      </c>
      <c r="D44" s="34" t="s">
        <v>224</v>
      </c>
      <c r="E44" s="17" t="s">
        <v>220</v>
      </c>
    </row>
    <row r="45" spans="1:5" ht="25" customHeight="1">
      <c r="A45" s="60">
        <f t="shared" si="3"/>
        <v>43</v>
      </c>
      <c r="B45" s="83"/>
      <c r="C45" s="66" t="s">
        <v>225</v>
      </c>
      <c r="D45" s="30" t="s">
        <v>226</v>
      </c>
      <c r="E45" s="30" t="s">
        <v>227</v>
      </c>
    </row>
    <row r="46" spans="1:5" ht="25" customHeight="1">
      <c r="A46" s="60">
        <f t="shared" si="3"/>
        <v>44</v>
      </c>
      <c r="B46" s="83"/>
      <c r="C46" s="30" t="s">
        <v>228</v>
      </c>
      <c r="D46" s="66" t="s">
        <v>229</v>
      </c>
      <c r="E46" s="30" t="s">
        <v>227</v>
      </c>
    </row>
    <row r="47" spans="1:5" ht="25" customHeight="1">
      <c r="A47" s="60">
        <f t="shared" si="3"/>
        <v>45</v>
      </c>
      <c r="B47" s="83"/>
      <c r="C47" s="30" t="s">
        <v>230</v>
      </c>
      <c r="D47" s="18" t="s">
        <v>231</v>
      </c>
      <c r="E47" s="30" t="s">
        <v>227</v>
      </c>
    </row>
    <row r="48" spans="1:5" ht="25" customHeight="1">
      <c r="A48" s="60">
        <f t="shared" si="3"/>
        <v>46</v>
      </c>
      <c r="B48" s="83"/>
      <c r="C48" s="66" t="s">
        <v>232</v>
      </c>
      <c r="D48" s="66" t="s">
        <v>233</v>
      </c>
      <c r="E48" s="66" t="s">
        <v>234</v>
      </c>
    </row>
    <row r="49" spans="1:5" ht="25" customHeight="1">
      <c r="A49" s="60">
        <f t="shared" si="3"/>
        <v>47</v>
      </c>
      <c r="B49" s="83"/>
      <c r="C49" s="66" t="s">
        <v>235</v>
      </c>
      <c r="D49" s="66" t="s">
        <v>236</v>
      </c>
      <c r="E49" s="66" t="s">
        <v>234</v>
      </c>
    </row>
    <row r="50" spans="1:5" ht="25" customHeight="1">
      <c r="A50" s="60">
        <f t="shared" si="3"/>
        <v>48</v>
      </c>
      <c r="B50" s="83"/>
      <c r="C50" s="66" t="s">
        <v>237</v>
      </c>
      <c r="D50" s="66" t="s">
        <v>238</v>
      </c>
      <c r="E50" s="66" t="s">
        <v>234</v>
      </c>
    </row>
    <row r="51" spans="1:5" ht="25" customHeight="1">
      <c r="A51" s="60">
        <f t="shared" si="3"/>
        <v>49</v>
      </c>
      <c r="B51" s="83"/>
      <c r="C51" s="66" t="s">
        <v>239</v>
      </c>
      <c r="D51" s="66" t="s">
        <v>240</v>
      </c>
      <c r="E51" s="66" t="s">
        <v>234</v>
      </c>
    </row>
    <row r="52" spans="1:5" ht="25" customHeight="1">
      <c r="A52" s="60">
        <f t="shared" si="3"/>
        <v>50</v>
      </c>
      <c r="B52" s="83"/>
      <c r="C52" s="66" t="s">
        <v>241</v>
      </c>
      <c r="D52" s="66" t="s">
        <v>242</v>
      </c>
      <c r="E52" s="66" t="s">
        <v>234</v>
      </c>
    </row>
    <row r="53" spans="1:5" ht="25" customHeight="1">
      <c r="A53" s="60">
        <f t="shared" si="3"/>
        <v>51</v>
      </c>
      <c r="B53" s="83"/>
      <c r="C53" s="66" t="s">
        <v>243</v>
      </c>
      <c r="D53" s="66" t="s">
        <v>244</v>
      </c>
      <c r="E53" s="66" t="s">
        <v>234</v>
      </c>
    </row>
    <row r="54" spans="1:5" ht="25" customHeight="1">
      <c r="A54" s="60">
        <f t="shared" si="3"/>
        <v>52</v>
      </c>
      <c r="B54" s="83"/>
      <c r="C54" s="66" t="s">
        <v>245</v>
      </c>
      <c r="D54" s="66" t="s">
        <v>246</v>
      </c>
      <c r="E54" s="66" t="s">
        <v>234</v>
      </c>
    </row>
    <row r="55" spans="1:5" ht="25" customHeight="1">
      <c r="A55" s="60">
        <f t="shared" si="3"/>
        <v>53</v>
      </c>
      <c r="B55" s="83"/>
      <c r="C55" s="66" t="s">
        <v>247</v>
      </c>
      <c r="D55" s="66" t="s">
        <v>248</v>
      </c>
      <c r="E55" s="66" t="s">
        <v>234</v>
      </c>
    </row>
  </sheetData>
  <mergeCells count="6">
    <mergeCell ref="B3:B21"/>
    <mergeCell ref="B22:B34"/>
    <mergeCell ref="B35:B41"/>
    <mergeCell ref="B42:B55"/>
    <mergeCell ref="C26:C28"/>
    <mergeCell ref="C30:C31"/>
  </mergeCells>
  <phoneticPr fontId="16" type="noConversion"/>
  <hyperlinks>
    <hyperlink ref="A1" location="目录!A1" display="返回" xr:uid="{00000000-0004-0000-03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M32"/>
  <sheetViews>
    <sheetView tabSelected="1" topLeftCell="A10" workbookViewId="0">
      <selection activeCell="D41" sqref="D41"/>
    </sheetView>
  </sheetViews>
  <sheetFormatPr baseColWidth="10" defaultColWidth="9" defaultRowHeight="14"/>
  <cols>
    <col min="2" max="2" width="12.1640625" style="8" customWidth="1"/>
    <col min="3" max="3" width="61.5" style="8" customWidth="1"/>
    <col min="4" max="4" width="55.5" style="8" customWidth="1"/>
    <col min="5" max="5" width="21.5" style="8" customWidth="1"/>
    <col min="6" max="6" width="109.83203125" style="8" customWidth="1"/>
    <col min="7" max="13" width="8.83203125" style="8"/>
  </cols>
  <sheetData>
    <row r="1" spans="1:6" ht="17">
      <c r="A1" s="13" t="s">
        <v>4</v>
      </c>
      <c r="B1" s="61"/>
      <c r="C1" s="61"/>
      <c r="D1" s="61"/>
      <c r="E1" s="61"/>
      <c r="F1" s="61"/>
    </row>
    <row r="2" spans="1:6" ht="16">
      <c r="A2" s="23" t="s">
        <v>0</v>
      </c>
      <c r="B2" s="23" t="s">
        <v>249</v>
      </c>
      <c r="C2" s="23" t="s">
        <v>250</v>
      </c>
      <c r="D2" s="23" t="s">
        <v>251</v>
      </c>
      <c r="E2" s="23" t="s">
        <v>252</v>
      </c>
      <c r="F2" s="23" t="s">
        <v>253</v>
      </c>
    </row>
    <row r="3" spans="1:6" ht="18">
      <c r="A3" s="3">
        <f t="shared" ref="A3:A32" si="0">ROW()-2</f>
        <v>1</v>
      </c>
      <c r="B3" s="84" t="s">
        <v>254</v>
      </c>
      <c r="C3" s="62" t="s">
        <v>255</v>
      </c>
      <c r="D3" s="62" t="s">
        <v>256</v>
      </c>
      <c r="E3" s="62" t="s">
        <v>257</v>
      </c>
      <c r="F3" s="62"/>
    </row>
    <row r="4" spans="1:6" ht="18">
      <c r="A4" s="3">
        <f t="shared" si="0"/>
        <v>2</v>
      </c>
      <c r="B4" s="85"/>
      <c r="C4" s="62" t="s">
        <v>258</v>
      </c>
      <c r="D4" s="62" t="s">
        <v>259</v>
      </c>
      <c r="E4" s="62"/>
      <c r="F4" s="62"/>
    </row>
    <row r="5" spans="1:6" ht="18">
      <c r="A5" s="3">
        <f t="shared" si="0"/>
        <v>3</v>
      </c>
      <c r="B5" s="85"/>
      <c r="C5" s="62" t="s">
        <v>260</v>
      </c>
      <c r="D5" s="62" t="s">
        <v>261</v>
      </c>
      <c r="E5" s="62"/>
      <c r="F5" s="62"/>
    </row>
    <row r="6" spans="1:6" ht="18">
      <c r="A6" s="3">
        <f t="shared" si="0"/>
        <v>4</v>
      </c>
      <c r="B6" s="85"/>
      <c r="C6" s="62" t="s">
        <v>262</v>
      </c>
      <c r="D6" s="62" t="s">
        <v>263</v>
      </c>
      <c r="E6" s="62"/>
      <c r="F6" s="62"/>
    </row>
    <row r="7" spans="1:6" ht="18">
      <c r="A7" s="3">
        <f t="shared" si="0"/>
        <v>5</v>
      </c>
      <c r="B7" s="85"/>
      <c r="C7" s="62" t="s">
        <v>264</v>
      </c>
      <c r="D7" s="62" t="s">
        <v>265</v>
      </c>
      <c r="E7" s="62"/>
      <c r="F7" s="62"/>
    </row>
    <row r="8" spans="1:6" ht="18">
      <c r="A8" s="3">
        <f t="shared" si="0"/>
        <v>6</v>
      </c>
      <c r="B8" s="85"/>
      <c r="C8" s="62" t="s">
        <v>266</v>
      </c>
      <c r="D8" s="62" t="s">
        <v>267</v>
      </c>
      <c r="E8" s="62"/>
      <c r="F8" s="62"/>
    </row>
    <row r="9" spans="1:6" ht="18">
      <c r="A9" s="3">
        <f t="shared" si="0"/>
        <v>7</v>
      </c>
      <c r="B9" s="85"/>
      <c r="C9" s="62" t="s">
        <v>268</v>
      </c>
      <c r="D9" s="62" t="s">
        <v>269</v>
      </c>
      <c r="E9" s="62"/>
      <c r="F9" s="62"/>
    </row>
    <row r="10" spans="1:6" ht="18">
      <c r="A10" s="3">
        <f t="shared" si="0"/>
        <v>8</v>
      </c>
      <c r="B10" s="85"/>
      <c r="C10" s="62" t="s">
        <v>270</v>
      </c>
      <c r="D10" s="62" t="s">
        <v>271</v>
      </c>
      <c r="E10" s="62"/>
      <c r="F10" s="62"/>
    </row>
    <row r="11" spans="1:6" ht="18">
      <c r="A11" s="3">
        <f t="shared" si="0"/>
        <v>9</v>
      </c>
      <c r="B11" s="85"/>
      <c r="C11" s="62" t="s">
        <v>272</v>
      </c>
      <c r="D11" s="62" t="s">
        <v>273</v>
      </c>
      <c r="E11" s="62"/>
      <c r="F11" s="62"/>
    </row>
    <row r="12" spans="1:6" ht="18">
      <c r="A12" s="3">
        <f t="shared" si="0"/>
        <v>10</v>
      </c>
      <c r="B12" s="85"/>
      <c r="C12" s="62" t="s">
        <v>274</v>
      </c>
      <c r="D12" s="62" t="s">
        <v>275</v>
      </c>
      <c r="E12" s="62"/>
      <c r="F12" s="62"/>
    </row>
    <row r="13" spans="1:6" ht="18">
      <c r="A13" s="3">
        <f t="shared" si="0"/>
        <v>11</v>
      </c>
      <c r="B13" s="85"/>
      <c r="C13" s="62" t="s">
        <v>276</v>
      </c>
      <c r="D13" s="62" t="s">
        <v>277</v>
      </c>
      <c r="E13" s="62"/>
      <c r="F13" s="62"/>
    </row>
    <row r="14" spans="1:6" ht="18">
      <c r="A14" s="3">
        <f t="shared" si="0"/>
        <v>12</v>
      </c>
      <c r="B14" s="85"/>
      <c r="C14" s="62" t="s">
        <v>278</v>
      </c>
      <c r="D14" s="62" t="s">
        <v>279</v>
      </c>
      <c r="E14" s="62"/>
      <c r="F14" s="62"/>
    </row>
    <row r="15" spans="1:6" ht="18">
      <c r="A15" s="3">
        <f t="shared" si="0"/>
        <v>13</v>
      </c>
      <c r="B15" s="86"/>
      <c r="C15" s="62" t="s">
        <v>280</v>
      </c>
      <c r="D15" s="62" t="s">
        <v>281</v>
      </c>
      <c r="E15" s="62"/>
      <c r="F15" s="62"/>
    </row>
    <row r="16" spans="1:6" ht="108">
      <c r="A16" s="3">
        <f t="shared" si="0"/>
        <v>14</v>
      </c>
      <c r="B16" s="84" t="s">
        <v>282</v>
      </c>
      <c r="C16" s="62" t="s">
        <v>283</v>
      </c>
      <c r="D16" s="62" t="s">
        <v>284</v>
      </c>
      <c r="E16" s="62" t="s">
        <v>285</v>
      </c>
      <c r="F16" s="62" t="s">
        <v>286</v>
      </c>
    </row>
    <row r="17" spans="1:6" ht="72">
      <c r="A17" s="3">
        <f t="shared" si="0"/>
        <v>15</v>
      </c>
      <c r="B17" s="85"/>
      <c r="C17" s="62" t="s">
        <v>287</v>
      </c>
      <c r="D17" s="62" t="s">
        <v>288</v>
      </c>
      <c r="E17" s="62" t="s">
        <v>257</v>
      </c>
      <c r="F17" s="62" t="s">
        <v>289</v>
      </c>
    </row>
    <row r="18" spans="1:6" ht="70.75" customHeight="1">
      <c r="A18" s="3">
        <f t="shared" si="0"/>
        <v>16</v>
      </c>
      <c r="B18" s="85"/>
      <c r="C18" s="62" t="s">
        <v>290</v>
      </c>
      <c r="D18" s="62" t="s">
        <v>291</v>
      </c>
      <c r="E18" s="62" t="s">
        <v>292</v>
      </c>
      <c r="F18" s="62" t="s">
        <v>293</v>
      </c>
    </row>
    <row r="19" spans="1:6" ht="54">
      <c r="A19" s="3">
        <f t="shared" si="0"/>
        <v>17</v>
      </c>
      <c r="B19" s="85"/>
      <c r="C19" s="62" t="s">
        <v>294</v>
      </c>
      <c r="D19" s="62" t="s">
        <v>295</v>
      </c>
      <c r="E19" s="62" t="s">
        <v>257</v>
      </c>
      <c r="F19" s="62" t="s">
        <v>296</v>
      </c>
    </row>
    <row r="20" spans="1:6" ht="72">
      <c r="A20" s="3">
        <f t="shared" si="0"/>
        <v>18</v>
      </c>
      <c r="B20" s="85"/>
      <c r="C20" s="62" t="s">
        <v>297</v>
      </c>
      <c r="D20" s="62" t="s">
        <v>298</v>
      </c>
      <c r="E20" s="62" t="s">
        <v>299</v>
      </c>
      <c r="F20" s="62" t="s">
        <v>300</v>
      </c>
    </row>
    <row r="21" spans="1:6" ht="54">
      <c r="A21" s="3">
        <f t="shared" si="0"/>
        <v>19</v>
      </c>
      <c r="B21" s="85"/>
      <c r="C21" s="62" t="s">
        <v>301</v>
      </c>
      <c r="D21" s="62" t="s">
        <v>302</v>
      </c>
      <c r="E21" s="62" t="s">
        <v>257</v>
      </c>
      <c r="F21" s="62" t="s">
        <v>303</v>
      </c>
    </row>
    <row r="22" spans="1:6" ht="54">
      <c r="A22" s="3">
        <f t="shared" si="0"/>
        <v>20</v>
      </c>
      <c r="B22" s="85"/>
      <c r="C22" s="62" t="s">
        <v>304</v>
      </c>
      <c r="D22" s="62" t="s">
        <v>305</v>
      </c>
      <c r="E22" s="62" t="s">
        <v>306</v>
      </c>
      <c r="F22" s="62" t="s">
        <v>307</v>
      </c>
    </row>
    <row r="23" spans="1:6" ht="72">
      <c r="A23" s="3">
        <f t="shared" si="0"/>
        <v>21</v>
      </c>
      <c r="B23" s="85"/>
      <c r="C23" s="62" t="s">
        <v>308</v>
      </c>
      <c r="D23" s="62" t="s">
        <v>309</v>
      </c>
      <c r="E23" s="62" t="s">
        <v>306</v>
      </c>
      <c r="F23" s="62" t="s">
        <v>310</v>
      </c>
    </row>
    <row r="24" spans="1:6" ht="54">
      <c r="A24" s="3">
        <f t="shared" si="0"/>
        <v>22</v>
      </c>
      <c r="B24" s="85"/>
      <c r="C24" s="62" t="s">
        <v>311</v>
      </c>
      <c r="D24" s="62" t="s">
        <v>312</v>
      </c>
      <c r="E24" s="62" t="s">
        <v>257</v>
      </c>
      <c r="F24" s="62" t="s">
        <v>313</v>
      </c>
    </row>
    <row r="25" spans="1:6" ht="54">
      <c r="A25" s="3">
        <f t="shared" si="0"/>
        <v>23</v>
      </c>
      <c r="B25" s="85"/>
      <c r="C25" s="62" t="s">
        <v>314</v>
      </c>
      <c r="D25" s="62" t="s">
        <v>315</v>
      </c>
      <c r="E25" s="62" t="s">
        <v>257</v>
      </c>
      <c r="F25" s="62" t="s">
        <v>316</v>
      </c>
    </row>
    <row r="26" spans="1:6" ht="36">
      <c r="A26" s="3">
        <f t="shared" si="0"/>
        <v>24</v>
      </c>
      <c r="B26" s="85"/>
      <c r="C26" s="62" t="s">
        <v>317</v>
      </c>
      <c r="D26" s="62" t="s">
        <v>318</v>
      </c>
      <c r="E26" s="62" t="s">
        <v>257</v>
      </c>
      <c r="F26" s="62" t="s">
        <v>319</v>
      </c>
    </row>
    <row r="27" spans="1:6" ht="54">
      <c r="A27" s="3">
        <f t="shared" si="0"/>
        <v>25</v>
      </c>
      <c r="B27" s="85"/>
      <c r="C27" s="62" t="s">
        <v>320</v>
      </c>
      <c r="D27" s="62" t="s">
        <v>321</v>
      </c>
      <c r="E27" s="62" t="s">
        <v>257</v>
      </c>
      <c r="F27" s="62" t="s">
        <v>322</v>
      </c>
    </row>
    <row r="28" spans="1:6" ht="54">
      <c r="A28" s="3">
        <f t="shared" si="0"/>
        <v>26</v>
      </c>
      <c r="B28" s="85"/>
      <c r="C28" s="62" t="s">
        <v>323</v>
      </c>
      <c r="D28" s="62" t="s">
        <v>324</v>
      </c>
      <c r="E28" s="62" t="s">
        <v>257</v>
      </c>
      <c r="F28" s="62" t="s">
        <v>325</v>
      </c>
    </row>
    <row r="29" spans="1:6" ht="54">
      <c r="A29" s="3">
        <f t="shared" si="0"/>
        <v>27</v>
      </c>
      <c r="B29" s="85"/>
      <c r="C29" s="62" t="s">
        <v>326</v>
      </c>
      <c r="D29" s="62" t="s">
        <v>327</v>
      </c>
      <c r="E29" s="62" t="s">
        <v>257</v>
      </c>
      <c r="F29" s="62" t="s">
        <v>328</v>
      </c>
    </row>
    <row r="30" spans="1:6" ht="36">
      <c r="A30" s="3">
        <f t="shared" si="0"/>
        <v>28</v>
      </c>
      <c r="B30" s="85"/>
      <c r="C30" s="62" t="s">
        <v>329</v>
      </c>
      <c r="D30" s="62" t="s">
        <v>330</v>
      </c>
      <c r="E30" s="62" t="s">
        <v>257</v>
      </c>
      <c r="F30" s="62" t="s">
        <v>331</v>
      </c>
    </row>
    <row r="31" spans="1:6" ht="90">
      <c r="A31" s="3">
        <f t="shared" si="0"/>
        <v>29</v>
      </c>
      <c r="B31" s="85"/>
      <c r="C31" s="62" t="s">
        <v>332</v>
      </c>
      <c r="D31" s="62" t="s">
        <v>333</v>
      </c>
      <c r="E31" s="62" t="s">
        <v>257</v>
      </c>
      <c r="F31" s="62" t="s">
        <v>334</v>
      </c>
    </row>
    <row r="32" spans="1:6" ht="72">
      <c r="A32" s="3">
        <f t="shared" si="0"/>
        <v>30</v>
      </c>
      <c r="B32" s="86"/>
      <c r="C32" s="62" t="s">
        <v>335</v>
      </c>
      <c r="D32" s="62" t="s">
        <v>336</v>
      </c>
      <c r="E32" s="62" t="s">
        <v>257</v>
      </c>
      <c r="F32" s="62" t="s">
        <v>337</v>
      </c>
    </row>
  </sheetData>
  <mergeCells count="2">
    <mergeCell ref="B3:B15"/>
    <mergeCell ref="B16:B32"/>
  </mergeCells>
  <phoneticPr fontId="16" type="noConversion"/>
  <hyperlinks>
    <hyperlink ref="A1" location="目录!A1" display="返回" xr:uid="{00000000-0004-0000-04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E71"/>
  <sheetViews>
    <sheetView workbookViewId="0">
      <pane ySplit="2" topLeftCell="A52" activePane="bottomLeft" state="frozen"/>
      <selection pane="bottomLeft" activeCell="E56" sqref="E56:E70"/>
    </sheetView>
  </sheetViews>
  <sheetFormatPr baseColWidth="10" defaultColWidth="8.83203125" defaultRowHeight="25" customHeight="1"/>
  <cols>
    <col min="1" max="1" width="4.83203125" style="2" customWidth="1"/>
    <col min="2" max="2" width="12.5" style="2" customWidth="1"/>
    <col min="3" max="3" width="32.6640625" style="2" customWidth="1"/>
    <col min="4" max="4" width="97.5" style="2" customWidth="1"/>
    <col min="5" max="5" width="138.6640625" style="2" customWidth="1"/>
    <col min="6" max="6" width="39.1640625" style="2" customWidth="1"/>
    <col min="7" max="16384" width="8.83203125" style="2"/>
  </cols>
  <sheetData>
    <row r="1" spans="1:5" ht="25" customHeight="1">
      <c r="A1" s="13" t="s">
        <v>4</v>
      </c>
    </row>
    <row r="2" spans="1:5" ht="25" customHeight="1">
      <c r="A2" s="23" t="s">
        <v>0</v>
      </c>
      <c r="B2" s="44" t="s">
        <v>5</v>
      </c>
      <c r="C2" s="44" t="s">
        <v>6</v>
      </c>
      <c r="D2" s="44" t="s">
        <v>7</v>
      </c>
      <c r="E2" s="44" t="s">
        <v>8</v>
      </c>
    </row>
    <row r="3" spans="1:5" ht="30" customHeight="1">
      <c r="A3" s="3">
        <f>ROW()-2</f>
        <v>1</v>
      </c>
      <c r="B3" s="68" t="s">
        <v>1</v>
      </c>
      <c r="C3" s="5" t="s">
        <v>343</v>
      </c>
      <c r="D3" s="5" t="s">
        <v>344</v>
      </c>
      <c r="E3" s="5" t="s">
        <v>142</v>
      </c>
    </row>
    <row r="4" spans="1:5" ht="25" customHeight="1">
      <c r="A4" s="3">
        <f>ROW()-2</f>
        <v>2</v>
      </c>
      <c r="B4" s="69"/>
      <c r="C4" s="5" t="s">
        <v>345</v>
      </c>
      <c r="D4" s="5" t="s">
        <v>346</v>
      </c>
      <c r="E4" s="5" t="s">
        <v>142</v>
      </c>
    </row>
    <row r="5" spans="1:5" ht="25" customHeight="1">
      <c r="A5" s="3">
        <f t="shared" ref="A5:A48" si="0">ROW()-2</f>
        <v>3</v>
      </c>
      <c r="B5" s="69"/>
      <c r="C5" s="5" t="s">
        <v>347</v>
      </c>
      <c r="D5" s="5" t="s">
        <v>348</v>
      </c>
      <c r="E5" s="5" t="s">
        <v>9</v>
      </c>
    </row>
    <row r="6" spans="1:5" ht="25" customHeight="1">
      <c r="A6" s="3">
        <f t="shared" si="0"/>
        <v>4</v>
      </c>
      <c r="B6" s="69"/>
      <c r="C6" s="5" t="s">
        <v>349</v>
      </c>
      <c r="D6" s="5" t="s">
        <v>349</v>
      </c>
      <c r="E6" s="5" t="s">
        <v>9</v>
      </c>
    </row>
    <row r="7" spans="1:5" ht="25" customHeight="1">
      <c r="A7" s="3">
        <f t="shared" si="0"/>
        <v>5</v>
      </c>
      <c r="B7" s="69"/>
      <c r="C7" s="5" t="s">
        <v>350</v>
      </c>
      <c r="D7" s="5" t="s">
        <v>351</v>
      </c>
      <c r="E7" s="5" t="s">
        <v>154</v>
      </c>
    </row>
    <row r="8" spans="1:5" ht="25" customHeight="1">
      <c r="A8" s="3">
        <f t="shared" si="0"/>
        <v>6</v>
      </c>
      <c r="B8" s="69"/>
      <c r="C8" s="5" t="s">
        <v>352</v>
      </c>
      <c r="D8" s="5" t="s">
        <v>353</v>
      </c>
      <c r="E8" s="5" t="s">
        <v>142</v>
      </c>
    </row>
    <row r="9" spans="1:5" ht="25" customHeight="1">
      <c r="A9" s="3">
        <f t="shared" si="0"/>
        <v>7</v>
      </c>
      <c r="B9" s="69"/>
      <c r="C9" s="24" t="s">
        <v>354</v>
      </c>
      <c r="D9" s="24" t="s">
        <v>355</v>
      </c>
      <c r="E9" s="6" t="s">
        <v>190</v>
      </c>
    </row>
    <row r="10" spans="1:5" ht="25" customHeight="1">
      <c r="A10" s="3">
        <f t="shared" si="0"/>
        <v>8</v>
      </c>
      <c r="B10" s="69"/>
      <c r="C10" s="24" t="s">
        <v>356</v>
      </c>
      <c r="D10" s="24" t="s">
        <v>357</v>
      </c>
      <c r="E10" s="6" t="s">
        <v>190</v>
      </c>
    </row>
    <row r="11" spans="1:5" ht="25" customHeight="1">
      <c r="A11" s="3">
        <f t="shared" si="0"/>
        <v>9</v>
      </c>
      <c r="B11" s="69"/>
      <c r="C11" s="6" t="s">
        <v>358</v>
      </c>
      <c r="D11" s="6" t="s">
        <v>358</v>
      </c>
      <c r="E11" s="5" t="s">
        <v>142</v>
      </c>
    </row>
    <row r="12" spans="1:5" ht="25" customHeight="1">
      <c r="A12" s="3">
        <f t="shared" si="0"/>
        <v>10</v>
      </c>
      <c r="B12" s="70"/>
      <c r="C12" s="6" t="s">
        <v>359</v>
      </c>
      <c r="D12" s="6" t="s">
        <v>359</v>
      </c>
      <c r="E12" s="5" t="s">
        <v>142</v>
      </c>
    </row>
    <row r="13" spans="1:5" ht="25" customHeight="1">
      <c r="A13" s="3">
        <f t="shared" si="0"/>
        <v>11</v>
      </c>
      <c r="B13" s="80" t="s">
        <v>360</v>
      </c>
      <c r="C13" s="6" t="s">
        <v>361</v>
      </c>
      <c r="D13" s="6" t="s">
        <v>361</v>
      </c>
      <c r="E13" s="5" t="s">
        <v>142</v>
      </c>
    </row>
    <row r="14" spans="1:5" ht="25" customHeight="1">
      <c r="A14" s="3">
        <f t="shared" si="0"/>
        <v>12</v>
      </c>
      <c r="B14" s="81"/>
      <c r="C14" s="6" t="s">
        <v>362</v>
      </c>
      <c r="D14" s="6" t="s">
        <v>362</v>
      </c>
      <c r="E14" s="5" t="s">
        <v>142</v>
      </c>
    </row>
    <row r="15" spans="1:5" ht="25" customHeight="1">
      <c r="A15" s="3">
        <f t="shared" si="0"/>
        <v>13</v>
      </c>
      <c r="B15" s="81"/>
      <c r="C15" s="6" t="s">
        <v>363</v>
      </c>
      <c r="D15" s="6" t="s">
        <v>363</v>
      </c>
      <c r="E15" s="5" t="s">
        <v>142</v>
      </c>
    </row>
    <row r="16" spans="1:5" ht="25" customHeight="1">
      <c r="A16" s="3">
        <f t="shared" si="0"/>
        <v>14</v>
      </c>
      <c r="B16" s="81"/>
      <c r="C16" s="6" t="s">
        <v>364</v>
      </c>
      <c r="D16" s="6" t="s">
        <v>364</v>
      </c>
      <c r="E16" s="5" t="s">
        <v>142</v>
      </c>
    </row>
    <row r="17" spans="1:5" ht="25" customHeight="1">
      <c r="A17" s="3">
        <f t="shared" si="0"/>
        <v>15</v>
      </c>
      <c r="B17" s="81"/>
      <c r="C17" s="6" t="s">
        <v>365</v>
      </c>
      <c r="D17" s="6" t="s">
        <v>365</v>
      </c>
      <c r="E17" s="5" t="s">
        <v>142</v>
      </c>
    </row>
    <row r="18" spans="1:5" ht="25" customHeight="1">
      <c r="A18" s="3">
        <f t="shared" si="0"/>
        <v>16</v>
      </c>
      <c r="B18" s="81"/>
      <c r="C18" s="6" t="s">
        <v>366</v>
      </c>
      <c r="D18" s="6" t="s">
        <v>366</v>
      </c>
      <c r="E18" s="5" t="s">
        <v>142</v>
      </c>
    </row>
    <row r="19" spans="1:5" ht="25" customHeight="1">
      <c r="A19" s="3">
        <f t="shared" si="0"/>
        <v>17</v>
      </c>
      <c r="B19" s="81"/>
      <c r="C19" s="6" t="s">
        <v>367</v>
      </c>
      <c r="D19" s="6" t="s">
        <v>367</v>
      </c>
      <c r="E19" s="5" t="s">
        <v>142</v>
      </c>
    </row>
    <row r="20" spans="1:5" ht="25" customHeight="1">
      <c r="A20" s="3">
        <f t="shared" si="0"/>
        <v>18</v>
      </c>
      <c r="B20" s="82"/>
      <c r="C20" s="6" t="s">
        <v>368</v>
      </c>
      <c r="D20" s="6" t="s">
        <v>368</v>
      </c>
      <c r="E20" s="5" t="s">
        <v>142</v>
      </c>
    </row>
    <row r="21" spans="1:5" ht="25" customHeight="1">
      <c r="A21" s="3">
        <f t="shared" si="0"/>
        <v>19</v>
      </c>
      <c r="B21" s="6" t="s">
        <v>369</v>
      </c>
      <c r="C21" s="6" t="s">
        <v>370</v>
      </c>
      <c r="D21" s="5" t="s">
        <v>371</v>
      </c>
      <c r="E21" s="5" t="s">
        <v>142</v>
      </c>
    </row>
    <row r="22" spans="1:5" ht="25" customHeight="1">
      <c r="A22" s="3">
        <f t="shared" si="0"/>
        <v>20</v>
      </c>
      <c r="B22" s="80" t="s">
        <v>372</v>
      </c>
      <c r="C22" s="6" t="s">
        <v>373</v>
      </c>
      <c r="D22" s="6" t="s">
        <v>374</v>
      </c>
      <c r="E22" s="6" t="s">
        <v>3</v>
      </c>
    </row>
    <row r="23" spans="1:5" ht="25" customHeight="1">
      <c r="A23" s="3">
        <f t="shared" si="0"/>
        <v>21</v>
      </c>
      <c r="B23" s="81"/>
      <c r="C23" s="6" t="s">
        <v>375</v>
      </c>
      <c r="D23" s="6" t="s">
        <v>376</v>
      </c>
      <c r="E23" s="6" t="s">
        <v>3</v>
      </c>
    </row>
    <row r="24" spans="1:5" ht="25" customHeight="1">
      <c r="A24" s="3">
        <f t="shared" si="0"/>
        <v>22</v>
      </c>
      <c r="B24" s="81"/>
      <c r="C24" s="17" t="s">
        <v>377</v>
      </c>
      <c r="D24" s="6" t="s">
        <v>378</v>
      </c>
      <c r="E24" s="6" t="s">
        <v>3</v>
      </c>
    </row>
    <row r="25" spans="1:5" ht="25" customHeight="1">
      <c r="A25" s="3">
        <f t="shared" si="0"/>
        <v>23</v>
      </c>
      <c r="B25" s="81"/>
      <c r="C25" s="17" t="s">
        <v>379</v>
      </c>
      <c r="D25" s="17" t="s">
        <v>380</v>
      </c>
      <c r="E25" s="17" t="s">
        <v>381</v>
      </c>
    </row>
    <row r="26" spans="1:5" ht="25" customHeight="1">
      <c r="A26" s="3">
        <f t="shared" si="0"/>
        <v>24</v>
      </c>
      <c r="B26" s="81"/>
      <c r="C26" s="17" t="s">
        <v>382</v>
      </c>
      <c r="D26" s="17" t="s">
        <v>383</v>
      </c>
      <c r="E26" s="17" t="s">
        <v>384</v>
      </c>
    </row>
    <row r="27" spans="1:5" ht="25" customHeight="1">
      <c r="A27" s="3">
        <f t="shared" si="0"/>
        <v>25</v>
      </c>
      <c r="B27" s="81"/>
      <c r="C27" s="17" t="s">
        <v>385</v>
      </c>
      <c r="D27" s="17" t="s">
        <v>386</v>
      </c>
      <c r="E27" s="17"/>
    </row>
    <row r="28" spans="1:5" ht="25" customHeight="1">
      <c r="A28" s="3">
        <f t="shared" si="0"/>
        <v>26</v>
      </c>
      <c r="B28" s="81"/>
      <c r="C28" s="17" t="s">
        <v>387</v>
      </c>
      <c r="D28" s="17" t="s">
        <v>388</v>
      </c>
      <c r="E28" s="17" t="s">
        <v>389</v>
      </c>
    </row>
    <row r="29" spans="1:5" ht="25" customHeight="1">
      <c r="A29" s="3">
        <f t="shared" si="0"/>
        <v>27</v>
      </c>
      <c r="B29" s="82"/>
      <c r="C29" s="17" t="s">
        <v>390</v>
      </c>
      <c r="D29" s="6" t="s">
        <v>391</v>
      </c>
      <c r="E29" s="6" t="s">
        <v>3</v>
      </c>
    </row>
    <row r="30" spans="1:5" ht="25" customHeight="1">
      <c r="A30" s="3">
        <f t="shared" si="0"/>
        <v>28</v>
      </c>
      <c r="B30" s="6"/>
      <c r="C30" s="53" t="s">
        <v>392</v>
      </c>
      <c r="D30" s="54" t="s">
        <v>393</v>
      </c>
      <c r="E30" s="55" t="s">
        <v>394</v>
      </c>
    </row>
    <row r="31" spans="1:5" ht="25" customHeight="1">
      <c r="A31" s="3">
        <f t="shared" si="0"/>
        <v>29</v>
      </c>
      <c r="B31" s="6"/>
      <c r="C31" s="53" t="s">
        <v>395</v>
      </c>
      <c r="D31" s="54" t="s">
        <v>396</v>
      </c>
      <c r="E31" s="55" t="s">
        <v>397</v>
      </c>
    </row>
    <row r="32" spans="1:5" ht="25" customHeight="1">
      <c r="A32" s="3">
        <f t="shared" si="0"/>
        <v>30</v>
      </c>
      <c r="B32" s="6"/>
      <c r="C32" s="53" t="s">
        <v>341</v>
      </c>
      <c r="D32" s="53" t="s">
        <v>398</v>
      </c>
      <c r="E32" s="55" t="s">
        <v>399</v>
      </c>
    </row>
    <row r="33" spans="1:5" ht="25" customHeight="1">
      <c r="A33" s="3">
        <f t="shared" si="0"/>
        <v>31</v>
      </c>
      <c r="B33" s="6"/>
      <c r="C33" s="53" t="s">
        <v>342</v>
      </c>
      <c r="D33" s="53" t="s">
        <v>400</v>
      </c>
      <c r="E33" s="55" t="s">
        <v>401</v>
      </c>
    </row>
    <row r="34" spans="1:5" ht="25" customHeight="1">
      <c r="A34" s="3">
        <f t="shared" si="0"/>
        <v>32</v>
      </c>
      <c r="B34" s="6"/>
      <c r="C34" s="53" t="s">
        <v>402</v>
      </c>
      <c r="D34" s="53" t="s">
        <v>403</v>
      </c>
      <c r="E34" s="55" t="s">
        <v>404</v>
      </c>
    </row>
    <row r="35" spans="1:5" ht="25" customHeight="1">
      <c r="A35" s="3">
        <f t="shared" si="0"/>
        <v>33</v>
      </c>
      <c r="B35" s="6"/>
      <c r="C35" s="53" t="s">
        <v>405</v>
      </c>
      <c r="D35" s="53" t="s">
        <v>406</v>
      </c>
      <c r="E35" s="55" t="s">
        <v>407</v>
      </c>
    </row>
    <row r="36" spans="1:5" ht="25" customHeight="1">
      <c r="A36" s="3">
        <f t="shared" si="0"/>
        <v>34</v>
      </c>
      <c r="B36" s="6"/>
      <c r="C36" s="53" t="s">
        <v>408</v>
      </c>
      <c r="D36" s="53" t="s">
        <v>409</v>
      </c>
      <c r="E36" s="55" t="s">
        <v>410</v>
      </c>
    </row>
    <row r="37" spans="1:5" ht="25" customHeight="1">
      <c r="A37" s="3">
        <f t="shared" si="0"/>
        <v>35</v>
      </c>
      <c r="B37" s="6"/>
      <c r="C37" s="53" t="s">
        <v>340</v>
      </c>
      <c r="D37" s="53" t="s">
        <v>411</v>
      </c>
      <c r="E37" s="55" t="s">
        <v>412</v>
      </c>
    </row>
    <row r="38" spans="1:5" ht="25" customHeight="1">
      <c r="A38" s="3">
        <f t="shared" si="0"/>
        <v>36</v>
      </c>
      <c r="B38" s="6"/>
      <c r="C38" s="53" t="s">
        <v>413</v>
      </c>
      <c r="D38" s="53" t="s">
        <v>414</v>
      </c>
      <c r="E38" s="55" t="s">
        <v>415</v>
      </c>
    </row>
    <row r="39" spans="1:5" ht="25" customHeight="1">
      <c r="A39" s="3">
        <f t="shared" si="0"/>
        <v>37</v>
      </c>
      <c r="B39" s="6"/>
      <c r="C39" s="53" t="s">
        <v>416</v>
      </c>
      <c r="D39" s="53" t="s">
        <v>417</v>
      </c>
      <c r="E39" s="55" t="s">
        <v>418</v>
      </c>
    </row>
    <row r="40" spans="1:5" ht="25" customHeight="1">
      <c r="A40" s="3">
        <f t="shared" si="0"/>
        <v>38</v>
      </c>
      <c r="B40" s="6"/>
      <c r="C40" s="53" t="s">
        <v>419</v>
      </c>
      <c r="D40" s="53" t="s">
        <v>420</v>
      </c>
      <c r="E40" s="55" t="s">
        <v>421</v>
      </c>
    </row>
    <row r="41" spans="1:5" ht="25" customHeight="1">
      <c r="A41" s="3">
        <f t="shared" si="0"/>
        <v>39</v>
      </c>
      <c r="B41" s="6"/>
      <c r="C41" s="53" t="s">
        <v>422</v>
      </c>
      <c r="D41" s="53" t="s">
        <v>423</v>
      </c>
      <c r="E41" s="55" t="s">
        <v>424</v>
      </c>
    </row>
    <row r="42" spans="1:5" ht="25" customHeight="1">
      <c r="A42" s="3">
        <f t="shared" si="0"/>
        <v>40</v>
      </c>
      <c r="B42" s="6"/>
      <c r="C42" s="53" t="s">
        <v>425</v>
      </c>
      <c r="D42" s="53" t="s">
        <v>426</v>
      </c>
      <c r="E42" s="55" t="s">
        <v>427</v>
      </c>
    </row>
    <row r="43" spans="1:5" ht="25" customHeight="1">
      <c r="A43" s="3">
        <f t="shared" si="0"/>
        <v>41</v>
      </c>
      <c r="B43" s="93" t="s">
        <v>428</v>
      </c>
      <c r="C43" s="53" t="s">
        <v>429</v>
      </c>
      <c r="D43" s="53" t="s">
        <v>430</v>
      </c>
      <c r="E43" s="53" t="s">
        <v>431</v>
      </c>
    </row>
    <row r="44" spans="1:5" ht="25" customHeight="1">
      <c r="A44" s="3">
        <f t="shared" si="0"/>
        <v>42</v>
      </c>
      <c r="B44" s="94"/>
      <c r="C44" s="53" t="s">
        <v>432</v>
      </c>
      <c r="D44" s="53" t="s">
        <v>433</v>
      </c>
      <c r="E44" s="53" t="s">
        <v>434</v>
      </c>
    </row>
    <row r="45" spans="1:5" ht="25" customHeight="1">
      <c r="A45" s="3">
        <f t="shared" si="0"/>
        <v>43</v>
      </c>
      <c r="B45" s="94"/>
      <c r="C45" s="53" t="s">
        <v>435</v>
      </c>
      <c r="D45" s="53" t="s">
        <v>436</v>
      </c>
      <c r="E45" s="53" t="s">
        <v>437</v>
      </c>
    </row>
    <row r="46" spans="1:5" ht="25" customHeight="1">
      <c r="A46" s="3">
        <f t="shared" si="0"/>
        <v>44</v>
      </c>
      <c r="B46" s="94"/>
      <c r="C46" s="98" t="s">
        <v>438</v>
      </c>
      <c r="D46" s="53" t="s">
        <v>439</v>
      </c>
      <c r="E46" s="53" t="s">
        <v>439</v>
      </c>
    </row>
    <row r="47" spans="1:5" ht="25" customHeight="1">
      <c r="A47" s="3">
        <f t="shared" si="0"/>
        <v>45</v>
      </c>
      <c r="B47" s="94"/>
      <c r="C47" s="99"/>
      <c r="D47" s="98" t="s">
        <v>440</v>
      </c>
      <c r="E47" s="53" t="s">
        <v>441</v>
      </c>
    </row>
    <row r="48" spans="1:5" ht="25" customHeight="1">
      <c r="A48" s="3">
        <f t="shared" si="0"/>
        <v>46</v>
      </c>
      <c r="B48" s="95"/>
      <c r="C48" s="100"/>
      <c r="D48" s="100"/>
      <c r="E48" s="53" t="s">
        <v>442</v>
      </c>
    </row>
    <row r="49" spans="1:5" ht="25" customHeight="1">
      <c r="A49" s="3">
        <f t="shared" ref="A49:A55" si="1">ROW()-2</f>
        <v>47</v>
      </c>
      <c r="B49" s="96" t="s">
        <v>395</v>
      </c>
      <c r="C49" s="92" t="s">
        <v>443</v>
      </c>
      <c r="D49" s="53" t="s">
        <v>444</v>
      </c>
      <c r="E49" s="6"/>
    </row>
    <row r="50" spans="1:5" ht="25" customHeight="1">
      <c r="A50" s="3">
        <f t="shared" si="1"/>
        <v>48</v>
      </c>
      <c r="B50" s="96"/>
      <c r="C50" s="92"/>
      <c r="D50" s="53" t="s">
        <v>445</v>
      </c>
      <c r="E50" s="6"/>
    </row>
    <row r="51" spans="1:5" ht="25" customHeight="1">
      <c r="A51" s="3">
        <f t="shared" si="1"/>
        <v>49</v>
      </c>
      <c r="B51" s="96"/>
      <c r="C51" s="92"/>
      <c r="D51" s="53" t="s">
        <v>446</v>
      </c>
      <c r="E51" s="6"/>
    </row>
    <row r="52" spans="1:5" ht="25" customHeight="1">
      <c r="A52" s="3">
        <f t="shared" si="1"/>
        <v>50</v>
      </c>
      <c r="B52" s="96"/>
      <c r="C52" s="92"/>
      <c r="D52" s="53" t="s">
        <v>447</v>
      </c>
      <c r="E52" s="6"/>
    </row>
    <row r="53" spans="1:5" ht="25" customHeight="1">
      <c r="A53" s="3">
        <f t="shared" si="1"/>
        <v>51</v>
      </c>
      <c r="B53" s="96"/>
      <c r="C53" s="92"/>
      <c r="D53" s="53" t="s">
        <v>448</v>
      </c>
      <c r="E53" s="6"/>
    </row>
    <row r="54" spans="1:5" ht="25" customHeight="1">
      <c r="A54" s="3">
        <f t="shared" si="1"/>
        <v>52</v>
      </c>
      <c r="B54" s="96"/>
      <c r="C54" s="101"/>
      <c r="D54" s="53" t="s">
        <v>449</v>
      </c>
      <c r="E54" s="6"/>
    </row>
    <row r="55" spans="1:5" ht="25" customHeight="1">
      <c r="A55" s="3">
        <f t="shared" si="1"/>
        <v>53</v>
      </c>
      <c r="B55" s="96"/>
      <c r="C55" s="101"/>
      <c r="D55" s="53" t="s">
        <v>450</v>
      </c>
      <c r="E55" s="6"/>
    </row>
    <row r="56" spans="1:5" ht="25" customHeight="1">
      <c r="A56" s="3">
        <f t="shared" ref="A56:A65" si="2">ROW()-2</f>
        <v>54</v>
      </c>
      <c r="C56" s="14" t="s">
        <v>408</v>
      </c>
      <c r="D56" s="6" t="s">
        <v>451</v>
      </c>
      <c r="E56" s="6"/>
    </row>
    <row r="57" spans="1:5" ht="25" customHeight="1">
      <c r="A57" s="3">
        <f t="shared" si="2"/>
        <v>55</v>
      </c>
      <c r="B57" s="91" t="s">
        <v>452</v>
      </c>
      <c r="C57" s="56" t="s">
        <v>453</v>
      </c>
      <c r="D57" s="12" t="s">
        <v>454</v>
      </c>
      <c r="E57" s="6"/>
    </row>
    <row r="58" spans="1:5" ht="25" customHeight="1">
      <c r="A58" s="3">
        <f t="shared" si="2"/>
        <v>56</v>
      </c>
      <c r="B58" s="91"/>
      <c r="C58" s="57" t="s">
        <v>455</v>
      </c>
      <c r="D58" s="12" t="s">
        <v>456</v>
      </c>
      <c r="E58" s="6"/>
    </row>
    <row r="59" spans="1:5" ht="25" customHeight="1">
      <c r="A59" s="3">
        <f t="shared" si="2"/>
        <v>57</v>
      </c>
      <c r="B59" s="91"/>
      <c r="C59" s="102" t="s">
        <v>457</v>
      </c>
      <c r="D59" s="12" t="s">
        <v>458</v>
      </c>
      <c r="E59" s="6"/>
    </row>
    <row r="60" spans="1:5" ht="25" customHeight="1">
      <c r="A60" s="3">
        <f t="shared" si="2"/>
        <v>58</v>
      </c>
      <c r="B60" s="91"/>
      <c r="C60" s="102"/>
      <c r="D60" s="12" t="s">
        <v>459</v>
      </c>
      <c r="E60" s="6"/>
    </row>
    <row r="61" spans="1:5" ht="25" customHeight="1">
      <c r="A61" s="3">
        <f t="shared" si="2"/>
        <v>59</v>
      </c>
      <c r="B61" s="91"/>
      <c r="C61" s="102"/>
      <c r="D61" s="12" t="s">
        <v>460</v>
      </c>
      <c r="E61" s="6"/>
    </row>
    <row r="62" spans="1:5" ht="25" customHeight="1">
      <c r="A62" s="3">
        <f t="shared" si="2"/>
        <v>60</v>
      </c>
      <c r="B62" s="91"/>
      <c r="C62" s="58" t="s">
        <v>461</v>
      </c>
      <c r="D62" s="27" t="s">
        <v>462</v>
      </c>
      <c r="E62" s="6"/>
    </row>
    <row r="63" spans="1:5" ht="25" customHeight="1">
      <c r="A63" s="3">
        <f t="shared" si="2"/>
        <v>61</v>
      </c>
      <c r="B63" s="91"/>
      <c r="C63" s="58" t="s">
        <v>463</v>
      </c>
      <c r="D63" s="27" t="s">
        <v>464</v>
      </c>
      <c r="E63" s="6"/>
    </row>
    <row r="64" spans="1:5" ht="25" customHeight="1">
      <c r="A64" s="3">
        <f t="shared" si="2"/>
        <v>62</v>
      </c>
      <c r="B64" s="91"/>
      <c r="C64" s="58" t="s">
        <v>465</v>
      </c>
      <c r="D64" s="27" t="s">
        <v>466</v>
      </c>
      <c r="E64" s="6"/>
    </row>
    <row r="65" spans="1:5" ht="25" customHeight="1">
      <c r="A65" s="3">
        <f t="shared" si="2"/>
        <v>63</v>
      </c>
      <c r="B65" s="97" t="s">
        <v>467</v>
      </c>
      <c r="C65" s="102" t="s">
        <v>468</v>
      </c>
      <c r="D65" s="27" t="s">
        <v>469</v>
      </c>
      <c r="E65" s="6"/>
    </row>
    <row r="66" spans="1:5" ht="25" customHeight="1">
      <c r="A66" s="3">
        <f t="shared" ref="A66:A71" si="3">ROW()-2</f>
        <v>64</v>
      </c>
      <c r="B66" s="97"/>
      <c r="C66" s="102"/>
      <c r="D66" s="12" t="s">
        <v>470</v>
      </c>
      <c r="E66" s="6"/>
    </row>
    <row r="67" spans="1:5" ht="25" customHeight="1">
      <c r="A67" s="3">
        <f t="shared" si="3"/>
        <v>65</v>
      </c>
      <c r="B67" s="97"/>
      <c r="C67" s="58" t="s">
        <v>471</v>
      </c>
      <c r="D67" s="12" t="s">
        <v>472</v>
      </c>
      <c r="E67" s="6"/>
    </row>
    <row r="68" spans="1:5" ht="25" customHeight="1">
      <c r="A68" s="3">
        <f t="shared" si="3"/>
        <v>66</v>
      </c>
      <c r="B68" s="97"/>
      <c r="C68" s="58" t="s">
        <v>457</v>
      </c>
      <c r="D68" s="27" t="s">
        <v>473</v>
      </c>
      <c r="E68" s="6"/>
    </row>
    <row r="69" spans="1:5" ht="25" customHeight="1">
      <c r="A69" s="3">
        <f t="shared" si="3"/>
        <v>67</v>
      </c>
      <c r="B69" s="97"/>
      <c r="C69" s="58" t="s">
        <v>474</v>
      </c>
      <c r="D69" s="12" t="s">
        <v>475</v>
      </c>
      <c r="E69" s="6"/>
    </row>
    <row r="70" spans="1:5" ht="25" customHeight="1">
      <c r="A70" s="3">
        <f t="shared" si="3"/>
        <v>68</v>
      </c>
      <c r="B70" s="97"/>
      <c r="C70" s="58" t="s">
        <v>476</v>
      </c>
      <c r="D70" s="12" t="s">
        <v>477</v>
      </c>
      <c r="E70" s="6"/>
    </row>
    <row r="71" spans="1:5" ht="25" customHeight="1">
      <c r="A71" s="3">
        <f t="shared" si="3"/>
        <v>69</v>
      </c>
      <c r="B71" s="97"/>
      <c r="C71" s="59" t="s">
        <v>478</v>
      </c>
      <c r="D71" s="6"/>
      <c r="E71" s="6"/>
    </row>
  </sheetData>
  <mergeCells count="12">
    <mergeCell ref="D47:D48"/>
    <mergeCell ref="B57:B64"/>
    <mergeCell ref="B65:B71"/>
    <mergeCell ref="C46:C48"/>
    <mergeCell ref="C49:C55"/>
    <mergeCell ref="C59:C61"/>
    <mergeCell ref="C65:C66"/>
    <mergeCell ref="B3:B12"/>
    <mergeCell ref="B13:B20"/>
    <mergeCell ref="B22:B29"/>
    <mergeCell ref="B43:B48"/>
    <mergeCell ref="B49:B55"/>
  </mergeCells>
  <phoneticPr fontId="16" type="noConversion"/>
  <hyperlinks>
    <hyperlink ref="A1" location="目录!A1" display="返回" xr:uid="{00000000-0004-0000-0F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D47"/>
  <sheetViews>
    <sheetView workbookViewId="0">
      <pane ySplit="2" topLeftCell="A25" activePane="bottomLeft" state="frozen"/>
      <selection pane="bottomLeft" activeCell="H52" sqref="H52"/>
    </sheetView>
  </sheetViews>
  <sheetFormatPr baseColWidth="10" defaultColWidth="8.83203125" defaultRowHeight="25" customHeight="1"/>
  <cols>
    <col min="1" max="1" width="5.5" style="2" customWidth="1"/>
    <col min="2" max="2" width="47.33203125" style="2" customWidth="1"/>
    <col min="3" max="3" width="114.5" style="2" customWidth="1"/>
    <col min="4" max="4" width="13.6640625" style="2" customWidth="1"/>
    <col min="5" max="16384" width="8.83203125" style="2"/>
  </cols>
  <sheetData>
    <row r="1" spans="1:4" ht="25" customHeight="1">
      <c r="A1" s="13" t="s">
        <v>4</v>
      </c>
    </row>
    <row r="2" spans="1:4" ht="25" customHeight="1">
      <c r="A2" s="23" t="s">
        <v>0</v>
      </c>
      <c r="B2" s="44" t="s">
        <v>6</v>
      </c>
      <c r="C2" s="44" t="s">
        <v>7</v>
      </c>
      <c r="D2" s="44" t="s">
        <v>8</v>
      </c>
    </row>
    <row r="3" spans="1:4" ht="25" customHeight="1">
      <c r="A3" s="3">
        <f>ROW()-2</f>
        <v>1</v>
      </c>
      <c r="B3" s="45" t="s">
        <v>479</v>
      </c>
      <c r="C3" s="5" t="s">
        <v>480</v>
      </c>
      <c r="D3" s="5" t="s">
        <v>142</v>
      </c>
    </row>
    <row r="4" spans="1:4" ht="25" customHeight="1">
      <c r="A4" s="3">
        <f>ROW()-2</f>
        <v>2</v>
      </c>
      <c r="B4" s="46" t="s">
        <v>481</v>
      </c>
      <c r="C4" s="34" t="s">
        <v>481</v>
      </c>
      <c r="D4" s="5" t="s">
        <v>482</v>
      </c>
    </row>
    <row r="5" spans="1:4" ht="25" customHeight="1">
      <c r="A5" s="3">
        <f>ROW()-2</f>
        <v>3</v>
      </c>
      <c r="B5" s="46" t="s">
        <v>483</v>
      </c>
      <c r="C5" s="34" t="s">
        <v>484</v>
      </c>
      <c r="D5" s="5" t="s">
        <v>482</v>
      </c>
    </row>
    <row r="6" spans="1:4" ht="25" customHeight="1">
      <c r="A6" s="3">
        <f>ROW()-2</f>
        <v>4</v>
      </c>
      <c r="B6" s="46" t="s">
        <v>485</v>
      </c>
      <c r="C6" s="6" t="s">
        <v>486</v>
      </c>
      <c r="D6" s="6" t="s">
        <v>9</v>
      </c>
    </row>
    <row r="7" spans="1:4" ht="25" customHeight="1">
      <c r="A7" s="3">
        <f t="shared" ref="A7:A18" si="0">ROW()-2</f>
        <v>5</v>
      </c>
      <c r="B7" s="47" t="s">
        <v>487</v>
      </c>
      <c r="C7" s="48" t="s">
        <v>488</v>
      </c>
      <c r="D7" s="6" t="s">
        <v>190</v>
      </c>
    </row>
    <row r="8" spans="1:4" ht="25" customHeight="1">
      <c r="A8" s="3">
        <f t="shared" si="0"/>
        <v>6</v>
      </c>
      <c r="B8" s="45" t="s">
        <v>489</v>
      </c>
      <c r="C8" s="5" t="s">
        <v>490</v>
      </c>
      <c r="D8" s="5" t="s">
        <v>10</v>
      </c>
    </row>
    <row r="9" spans="1:4" ht="25" customHeight="1">
      <c r="A9" s="3">
        <f t="shared" si="0"/>
        <v>7</v>
      </c>
      <c r="B9" s="49" t="s">
        <v>491</v>
      </c>
      <c r="C9" s="50" t="s">
        <v>492</v>
      </c>
      <c r="D9" s="5" t="s">
        <v>339</v>
      </c>
    </row>
    <row r="10" spans="1:4" ht="25" customHeight="1">
      <c r="A10" s="3">
        <f t="shared" si="0"/>
        <v>8</v>
      </c>
      <c r="B10" s="45" t="s">
        <v>493</v>
      </c>
      <c r="C10" s="50" t="s">
        <v>494</v>
      </c>
      <c r="D10" s="5" t="s">
        <v>339</v>
      </c>
    </row>
    <row r="11" spans="1:4" ht="25" customHeight="1">
      <c r="A11" s="3">
        <f t="shared" si="0"/>
        <v>9</v>
      </c>
      <c r="B11" s="45" t="s">
        <v>495</v>
      </c>
      <c r="C11" s="5" t="s">
        <v>496</v>
      </c>
      <c r="D11" s="5" t="s">
        <v>10</v>
      </c>
    </row>
    <row r="12" spans="1:4" ht="25" customHeight="1">
      <c r="A12" s="3">
        <f t="shared" si="0"/>
        <v>10</v>
      </c>
      <c r="B12" s="45" t="s">
        <v>497</v>
      </c>
      <c r="C12" s="5" t="s">
        <v>498</v>
      </c>
      <c r="D12" s="5" t="s">
        <v>10</v>
      </c>
    </row>
    <row r="13" spans="1:4" ht="25" customHeight="1">
      <c r="A13" s="3">
        <f t="shared" si="0"/>
        <v>11</v>
      </c>
      <c r="B13" s="45" t="s">
        <v>499</v>
      </c>
      <c r="C13" s="5" t="s">
        <v>500</v>
      </c>
      <c r="D13" s="5" t="s">
        <v>10</v>
      </c>
    </row>
    <row r="14" spans="1:4" ht="25" customHeight="1">
      <c r="A14" s="3">
        <f t="shared" si="0"/>
        <v>12</v>
      </c>
      <c r="B14" s="45" t="s">
        <v>501</v>
      </c>
      <c r="C14" s="5" t="s">
        <v>501</v>
      </c>
      <c r="D14" s="5" t="s">
        <v>154</v>
      </c>
    </row>
    <row r="15" spans="1:4" ht="25" customHeight="1">
      <c r="A15" s="3">
        <f t="shared" si="0"/>
        <v>13</v>
      </c>
      <c r="B15" s="45" t="s">
        <v>502</v>
      </c>
      <c r="C15" s="5" t="s">
        <v>503</v>
      </c>
      <c r="D15" s="5" t="s">
        <v>142</v>
      </c>
    </row>
    <row r="16" spans="1:4" ht="25" customHeight="1">
      <c r="A16" s="3">
        <f t="shared" si="0"/>
        <v>14</v>
      </c>
      <c r="B16" s="45" t="s">
        <v>504</v>
      </c>
      <c r="C16" s="5" t="s">
        <v>505</v>
      </c>
      <c r="D16" s="5" t="s">
        <v>142</v>
      </c>
    </row>
    <row r="17" spans="1:4" ht="25" customHeight="1">
      <c r="A17" s="3">
        <f t="shared" si="0"/>
        <v>15</v>
      </c>
      <c r="B17" s="45" t="s">
        <v>506</v>
      </c>
      <c r="C17" s="5" t="s">
        <v>507</v>
      </c>
      <c r="D17" s="5" t="s">
        <v>508</v>
      </c>
    </row>
    <row r="18" spans="1:4" ht="25" customHeight="1">
      <c r="A18" s="3">
        <f t="shared" si="0"/>
        <v>16</v>
      </c>
      <c r="B18" s="45" t="s">
        <v>509</v>
      </c>
      <c r="C18" s="5" t="s">
        <v>510</v>
      </c>
      <c r="D18" s="5" t="s">
        <v>10</v>
      </c>
    </row>
    <row r="19" spans="1:4" ht="25" customHeight="1">
      <c r="A19" s="3">
        <f t="shared" ref="A19:A39" si="1">ROW()-2</f>
        <v>17</v>
      </c>
      <c r="B19" s="46" t="s">
        <v>511</v>
      </c>
      <c r="C19" s="34" t="s">
        <v>512</v>
      </c>
      <c r="D19" s="5" t="s">
        <v>154</v>
      </c>
    </row>
    <row r="20" spans="1:4" ht="25" customHeight="1">
      <c r="A20" s="3">
        <f t="shared" si="1"/>
        <v>18</v>
      </c>
      <c r="B20" s="45" t="s">
        <v>513</v>
      </c>
      <c r="C20" s="5" t="s">
        <v>514</v>
      </c>
      <c r="D20" s="6" t="s">
        <v>10</v>
      </c>
    </row>
    <row r="21" spans="1:4" ht="25" customHeight="1">
      <c r="A21" s="3">
        <f t="shared" si="1"/>
        <v>19</v>
      </c>
      <c r="B21" s="46" t="s">
        <v>515</v>
      </c>
      <c r="C21" s="6"/>
      <c r="D21" s="6" t="s">
        <v>10</v>
      </c>
    </row>
    <row r="22" spans="1:4" ht="25" customHeight="1">
      <c r="A22" s="3">
        <f t="shared" si="1"/>
        <v>20</v>
      </c>
      <c r="B22" s="47" t="s">
        <v>516</v>
      </c>
      <c r="C22" s="6"/>
      <c r="D22" s="6" t="s">
        <v>10</v>
      </c>
    </row>
    <row r="23" spans="1:4" ht="25" customHeight="1">
      <c r="A23" s="3">
        <f t="shared" si="1"/>
        <v>21</v>
      </c>
      <c r="B23" s="47" t="s">
        <v>517</v>
      </c>
      <c r="C23" s="6"/>
      <c r="D23" s="6" t="s">
        <v>10</v>
      </c>
    </row>
    <row r="24" spans="1:4" ht="25" customHeight="1">
      <c r="A24" s="3">
        <f t="shared" si="1"/>
        <v>22</v>
      </c>
      <c r="B24" s="47" t="s">
        <v>518</v>
      </c>
      <c r="C24" s="6"/>
      <c r="D24" s="6" t="s">
        <v>10</v>
      </c>
    </row>
    <row r="25" spans="1:4" ht="25" customHeight="1">
      <c r="A25" s="3">
        <f t="shared" si="1"/>
        <v>23</v>
      </c>
      <c r="B25" s="45" t="s">
        <v>519</v>
      </c>
      <c r="C25" s="5" t="s">
        <v>520</v>
      </c>
      <c r="D25" s="6" t="s">
        <v>220</v>
      </c>
    </row>
    <row r="26" spans="1:4" ht="25" customHeight="1">
      <c r="A26" s="3">
        <f t="shared" si="1"/>
        <v>24</v>
      </c>
      <c r="B26" s="51" t="s">
        <v>521</v>
      </c>
      <c r="C26" s="50" t="s">
        <v>522</v>
      </c>
      <c r="D26" s="4" t="s">
        <v>339</v>
      </c>
    </row>
    <row r="27" spans="1:4" ht="25" customHeight="1">
      <c r="A27" s="3">
        <f t="shared" si="1"/>
        <v>25</v>
      </c>
      <c r="B27" s="1" t="s">
        <v>523</v>
      </c>
      <c r="C27" s="1" t="s">
        <v>524</v>
      </c>
      <c r="D27" s="1" t="s">
        <v>227</v>
      </c>
    </row>
    <row r="28" spans="1:4" ht="25" customHeight="1">
      <c r="A28" s="3">
        <f t="shared" si="1"/>
        <v>26</v>
      </c>
      <c r="B28" s="1" t="s">
        <v>525</v>
      </c>
      <c r="C28" s="1" t="s">
        <v>526</v>
      </c>
      <c r="D28" s="1" t="s">
        <v>227</v>
      </c>
    </row>
    <row r="29" spans="1:4" ht="25" customHeight="1">
      <c r="A29" s="3">
        <f t="shared" si="1"/>
        <v>27</v>
      </c>
      <c r="B29" s="1" t="s">
        <v>527</v>
      </c>
      <c r="C29" s="1" t="s">
        <v>528</v>
      </c>
      <c r="D29" s="1" t="s">
        <v>227</v>
      </c>
    </row>
    <row r="30" spans="1:4" ht="25" customHeight="1">
      <c r="A30" s="3">
        <f t="shared" si="1"/>
        <v>28</v>
      </c>
      <c r="B30" s="1" t="s">
        <v>529</v>
      </c>
      <c r="C30" s="1" t="s">
        <v>530</v>
      </c>
      <c r="D30" s="1" t="s">
        <v>227</v>
      </c>
    </row>
    <row r="31" spans="1:4" ht="25" customHeight="1">
      <c r="A31" s="3">
        <f t="shared" si="1"/>
        <v>29</v>
      </c>
      <c r="B31" s="52" t="s">
        <v>531</v>
      </c>
      <c r="C31" s="52" t="s">
        <v>532</v>
      </c>
      <c r="D31" s="52" t="s">
        <v>227</v>
      </c>
    </row>
    <row r="32" spans="1:4" ht="25" customHeight="1">
      <c r="A32" s="3">
        <f t="shared" si="1"/>
        <v>30</v>
      </c>
      <c r="B32" s="30" t="s">
        <v>533</v>
      </c>
      <c r="C32" s="30" t="s">
        <v>534</v>
      </c>
      <c r="D32" s="6" t="s">
        <v>187</v>
      </c>
    </row>
    <row r="33" spans="1:4" ht="25" customHeight="1">
      <c r="A33" s="3">
        <f t="shared" si="1"/>
        <v>31</v>
      </c>
      <c r="B33" s="30" t="s">
        <v>535</v>
      </c>
      <c r="C33" s="30" t="s">
        <v>536</v>
      </c>
      <c r="D33" s="6" t="s">
        <v>187</v>
      </c>
    </row>
    <row r="34" spans="1:4" ht="25" customHeight="1">
      <c r="A34" s="3">
        <f t="shared" si="1"/>
        <v>32</v>
      </c>
      <c r="B34" s="30" t="s">
        <v>537</v>
      </c>
      <c r="C34" s="30" t="s">
        <v>538</v>
      </c>
      <c r="D34" s="6" t="s">
        <v>187</v>
      </c>
    </row>
    <row r="35" spans="1:4" ht="25" customHeight="1">
      <c r="A35" s="3">
        <f t="shared" si="1"/>
        <v>33</v>
      </c>
      <c r="B35" s="2" t="s">
        <v>539</v>
      </c>
      <c r="C35" s="2" t="s">
        <v>540</v>
      </c>
      <c r="D35" s="2" t="s">
        <v>338</v>
      </c>
    </row>
    <row r="36" spans="1:4" ht="25" customHeight="1">
      <c r="A36" s="3">
        <f t="shared" si="1"/>
        <v>34</v>
      </c>
      <c r="B36" s="2" t="s">
        <v>541</v>
      </c>
      <c r="C36" s="2" t="s">
        <v>542</v>
      </c>
      <c r="D36" s="2" t="s">
        <v>338</v>
      </c>
    </row>
    <row r="37" spans="1:4" ht="25" customHeight="1">
      <c r="A37" s="3">
        <f t="shared" si="1"/>
        <v>35</v>
      </c>
      <c r="B37" s="2" t="s">
        <v>543</v>
      </c>
      <c r="C37" s="2" t="s">
        <v>544</v>
      </c>
      <c r="D37" s="2" t="s">
        <v>338</v>
      </c>
    </row>
    <row r="38" spans="1:4" ht="25" customHeight="1">
      <c r="A38" s="3">
        <f t="shared" si="1"/>
        <v>36</v>
      </c>
      <c r="B38" s="103" t="s">
        <v>545</v>
      </c>
      <c r="C38" s="2" t="s">
        <v>546</v>
      </c>
      <c r="D38" s="2" t="s">
        <v>338</v>
      </c>
    </row>
    <row r="39" spans="1:4" ht="25" customHeight="1">
      <c r="A39" s="3">
        <f t="shared" si="1"/>
        <v>37</v>
      </c>
      <c r="B39" s="103"/>
      <c r="C39" s="2" t="s">
        <v>547</v>
      </c>
      <c r="D39" s="2" t="s">
        <v>338</v>
      </c>
    </row>
    <row r="40" spans="1:4" ht="25" customHeight="1">
      <c r="A40" s="3">
        <f t="shared" ref="A40:A47" si="2">ROW()-2</f>
        <v>38</v>
      </c>
      <c r="B40" s="2" t="s">
        <v>548</v>
      </c>
      <c r="C40" s="2" t="s">
        <v>549</v>
      </c>
      <c r="D40" s="2" t="s">
        <v>338</v>
      </c>
    </row>
    <row r="41" spans="1:4" ht="25" customHeight="1">
      <c r="A41" s="3">
        <f t="shared" si="2"/>
        <v>39</v>
      </c>
      <c r="B41" s="2" t="s">
        <v>550</v>
      </c>
      <c r="C41" s="2" t="s">
        <v>551</v>
      </c>
      <c r="D41" s="2" t="s">
        <v>338</v>
      </c>
    </row>
    <row r="42" spans="1:4" ht="25" customHeight="1">
      <c r="A42" s="3">
        <f t="shared" si="2"/>
        <v>40</v>
      </c>
      <c r="B42" s="103" t="s">
        <v>552</v>
      </c>
      <c r="C42" s="2" t="s">
        <v>553</v>
      </c>
      <c r="D42" s="2" t="s">
        <v>338</v>
      </c>
    </row>
    <row r="43" spans="1:4" ht="25" customHeight="1">
      <c r="A43" s="3">
        <f t="shared" si="2"/>
        <v>41</v>
      </c>
      <c r="B43" s="103"/>
      <c r="C43" s="2" t="s">
        <v>554</v>
      </c>
      <c r="D43" s="2" t="s">
        <v>338</v>
      </c>
    </row>
    <row r="44" spans="1:4" ht="25" customHeight="1">
      <c r="A44" s="3">
        <f t="shared" si="2"/>
        <v>42</v>
      </c>
      <c r="B44" s="2" t="s">
        <v>555</v>
      </c>
      <c r="C44" s="2" t="s">
        <v>556</v>
      </c>
      <c r="D44" s="2" t="s">
        <v>338</v>
      </c>
    </row>
    <row r="45" spans="1:4" ht="25" customHeight="1">
      <c r="A45" s="3">
        <f t="shared" si="2"/>
        <v>43</v>
      </c>
      <c r="B45" s="2" t="s">
        <v>557</v>
      </c>
      <c r="C45" s="2" t="s">
        <v>558</v>
      </c>
      <c r="D45" s="2" t="s">
        <v>338</v>
      </c>
    </row>
    <row r="46" spans="1:4" ht="25" customHeight="1">
      <c r="A46" s="3">
        <f t="shared" si="2"/>
        <v>44</v>
      </c>
      <c r="B46" s="2" t="s">
        <v>559</v>
      </c>
      <c r="C46" s="2" t="s">
        <v>560</v>
      </c>
      <c r="D46" s="2" t="s">
        <v>338</v>
      </c>
    </row>
    <row r="47" spans="1:4" ht="25" customHeight="1">
      <c r="A47" s="3">
        <f t="shared" si="2"/>
        <v>45</v>
      </c>
      <c r="B47" s="2" t="s">
        <v>561</v>
      </c>
      <c r="C47" s="2" t="s">
        <v>562</v>
      </c>
      <c r="D47" s="2" t="s">
        <v>338</v>
      </c>
    </row>
  </sheetData>
  <mergeCells count="2">
    <mergeCell ref="B38:B39"/>
    <mergeCell ref="B42:B43"/>
  </mergeCells>
  <phoneticPr fontId="16" type="noConversion"/>
  <hyperlinks>
    <hyperlink ref="A1" location="目录!A1" display="返回" xr:uid="{00000000-0004-0000-10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XFA21"/>
  <sheetViews>
    <sheetView workbookViewId="0">
      <pane ySplit="2" topLeftCell="A3" activePane="bottomLeft" state="frozen"/>
      <selection pane="bottomLeft" activeCell="E3" sqref="E3:E21"/>
    </sheetView>
  </sheetViews>
  <sheetFormatPr baseColWidth="10" defaultColWidth="8.83203125" defaultRowHeight="25" customHeight="1"/>
  <cols>
    <col min="1" max="1" width="6.33203125" style="14" customWidth="1"/>
    <col min="2" max="2" width="9.83203125" style="14" customWidth="1"/>
    <col min="3" max="3" width="44" style="15" customWidth="1"/>
    <col min="4" max="4" width="50.6640625" style="14" customWidth="1"/>
    <col min="5" max="5" width="11.1640625" style="14" customWidth="1"/>
    <col min="6" max="16381" width="8.83203125" style="14"/>
  </cols>
  <sheetData>
    <row r="1" spans="1:5" s="14" customFormat="1" ht="25" customHeight="1">
      <c r="A1" s="28" t="s">
        <v>4</v>
      </c>
      <c r="B1" s="5"/>
      <c r="C1" s="4"/>
      <c r="D1" s="5"/>
      <c r="E1" s="5"/>
    </row>
    <row r="2" spans="1:5" s="2" customFormat="1" ht="25" customHeight="1">
      <c r="A2" s="23" t="s">
        <v>0</v>
      </c>
      <c r="B2" s="23" t="s">
        <v>5</v>
      </c>
      <c r="C2" s="23" t="s">
        <v>6</v>
      </c>
      <c r="D2" s="23" t="s">
        <v>7</v>
      </c>
      <c r="E2" s="23" t="s">
        <v>8</v>
      </c>
    </row>
    <row r="3" spans="1:5" s="14" customFormat="1" ht="25" customHeight="1">
      <c r="A3" s="9">
        <v>1</v>
      </c>
      <c r="B3" s="90" t="s">
        <v>2</v>
      </c>
      <c r="C3" s="4" t="s">
        <v>563</v>
      </c>
      <c r="D3" s="9"/>
      <c r="E3" s="5"/>
    </row>
    <row r="4" spans="1:5" s="14" customFormat="1" ht="25" customHeight="1">
      <c r="A4" s="9">
        <v>2</v>
      </c>
      <c r="B4" s="90"/>
      <c r="C4" s="4" t="s">
        <v>564</v>
      </c>
      <c r="D4" s="9"/>
      <c r="E4" s="5"/>
    </row>
    <row r="5" spans="1:5" s="14" customFormat="1" ht="25" customHeight="1">
      <c r="A5" s="9">
        <v>3</v>
      </c>
      <c r="B5" s="90"/>
      <c r="C5" s="4" t="s">
        <v>565</v>
      </c>
      <c r="D5" s="9"/>
      <c r="E5" s="5"/>
    </row>
    <row r="6" spans="1:5" s="14" customFormat="1" ht="25" customHeight="1">
      <c r="A6" s="9">
        <v>4</v>
      </c>
      <c r="B6" s="90"/>
      <c r="C6" s="42" t="s">
        <v>566</v>
      </c>
      <c r="D6" s="43"/>
      <c r="E6" s="5"/>
    </row>
    <row r="7" spans="1:5" s="14" customFormat="1" ht="25" customHeight="1">
      <c r="A7" s="9">
        <v>5</v>
      </c>
      <c r="B7" s="90"/>
      <c r="C7" s="42" t="s">
        <v>567</v>
      </c>
      <c r="D7" s="43"/>
      <c r="E7" s="5"/>
    </row>
    <row r="8" spans="1:5" s="14" customFormat="1" ht="25" customHeight="1">
      <c r="A8" s="9">
        <v>6</v>
      </c>
      <c r="B8" s="90"/>
      <c r="C8" s="4" t="s">
        <v>568</v>
      </c>
      <c r="D8" s="9"/>
      <c r="E8" s="5"/>
    </row>
    <row r="9" spans="1:5" s="14" customFormat="1" ht="25" customHeight="1">
      <c r="A9" s="9">
        <v>7</v>
      </c>
      <c r="B9" s="90"/>
      <c r="C9" s="4" t="s">
        <v>569</v>
      </c>
      <c r="D9" s="9"/>
      <c r="E9" s="5"/>
    </row>
    <row r="10" spans="1:5" s="14" customFormat="1" ht="25" customHeight="1">
      <c r="A10" s="9">
        <v>8</v>
      </c>
      <c r="B10" s="90"/>
      <c r="C10" s="4" t="s">
        <v>570</v>
      </c>
      <c r="D10" s="5" t="s">
        <v>571</v>
      </c>
      <c r="E10" s="5"/>
    </row>
    <row r="11" spans="1:5" s="14" customFormat="1" ht="25" customHeight="1">
      <c r="A11" s="9">
        <v>9</v>
      </c>
      <c r="B11" s="90"/>
      <c r="C11" s="4" t="s">
        <v>572</v>
      </c>
      <c r="D11" s="5" t="s">
        <v>573</v>
      </c>
      <c r="E11" s="5"/>
    </row>
    <row r="12" spans="1:5" s="14" customFormat="1" ht="25" customHeight="1">
      <c r="A12" s="9">
        <v>10</v>
      </c>
      <c r="B12" s="90"/>
      <c r="C12" s="4" t="s">
        <v>574</v>
      </c>
      <c r="D12" s="5" t="s">
        <v>575</v>
      </c>
      <c r="E12" s="5"/>
    </row>
    <row r="13" spans="1:5" s="14" customFormat="1" ht="25" customHeight="1">
      <c r="A13" s="9">
        <v>11</v>
      </c>
      <c r="B13" s="90"/>
      <c r="C13" s="4" t="s">
        <v>576</v>
      </c>
      <c r="D13" s="5" t="s">
        <v>577</v>
      </c>
      <c r="E13" s="5"/>
    </row>
    <row r="14" spans="1:5" s="14" customFormat="1" ht="25" customHeight="1">
      <c r="A14" s="9">
        <v>12</v>
      </c>
      <c r="B14" s="90"/>
      <c r="C14" s="4" t="s">
        <v>578</v>
      </c>
      <c r="D14" s="5" t="s">
        <v>579</v>
      </c>
      <c r="E14" s="5"/>
    </row>
    <row r="15" spans="1:5" s="14" customFormat="1" ht="25" customHeight="1">
      <c r="A15" s="9">
        <v>13</v>
      </c>
      <c r="B15" s="5"/>
      <c r="C15" s="71" t="s">
        <v>580</v>
      </c>
      <c r="D15" s="4" t="s">
        <v>581</v>
      </c>
      <c r="E15" s="5"/>
    </row>
    <row r="16" spans="1:5" s="14" customFormat="1" ht="25" customHeight="1">
      <c r="A16" s="9">
        <v>14</v>
      </c>
      <c r="B16" s="5"/>
      <c r="C16" s="73"/>
      <c r="D16" s="4" t="s">
        <v>581</v>
      </c>
      <c r="E16" s="5"/>
    </row>
    <row r="17" spans="1:5" ht="25" customHeight="1">
      <c r="A17" s="9">
        <v>15</v>
      </c>
      <c r="B17" s="5"/>
      <c r="C17" s="73"/>
      <c r="D17" s="4" t="s">
        <v>580</v>
      </c>
      <c r="E17" s="5"/>
    </row>
    <row r="18" spans="1:5" ht="25" customHeight="1">
      <c r="A18" s="9">
        <v>16</v>
      </c>
      <c r="B18" s="5"/>
      <c r="C18" s="73"/>
      <c r="D18" s="4" t="s">
        <v>582</v>
      </c>
      <c r="E18" s="5"/>
    </row>
    <row r="19" spans="1:5" ht="25" customHeight="1">
      <c r="A19" s="9">
        <v>17</v>
      </c>
      <c r="B19" s="5"/>
      <c r="C19" s="72"/>
      <c r="D19" s="4" t="s">
        <v>583</v>
      </c>
      <c r="E19" s="5"/>
    </row>
    <row r="20" spans="1:5" ht="25" customHeight="1">
      <c r="A20" s="9">
        <v>18</v>
      </c>
      <c r="B20" s="5"/>
      <c r="C20" s="4" t="s">
        <v>584</v>
      </c>
      <c r="D20" s="4" t="s">
        <v>584</v>
      </c>
      <c r="E20" s="5"/>
    </row>
    <row r="21" spans="1:5" ht="25" customHeight="1">
      <c r="A21" s="9">
        <v>19</v>
      </c>
      <c r="B21" s="5"/>
      <c r="C21" s="4" t="s">
        <v>585</v>
      </c>
      <c r="D21" s="4" t="s">
        <v>586</v>
      </c>
      <c r="E21" s="5"/>
    </row>
  </sheetData>
  <mergeCells count="2">
    <mergeCell ref="B3:B14"/>
    <mergeCell ref="C15:C19"/>
  </mergeCells>
  <phoneticPr fontId="16" type="noConversion"/>
  <hyperlinks>
    <hyperlink ref="A1" location="目录!A1" display="返回" xr:uid="{00000000-0004-0000-11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E44"/>
  <sheetViews>
    <sheetView workbookViewId="0">
      <pane ySplit="2" topLeftCell="A19" activePane="bottomLeft" state="frozen"/>
      <selection pane="bottomLeft" activeCell="E3" sqref="E3:E44"/>
    </sheetView>
  </sheetViews>
  <sheetFormatPr baseColWidth="10" defaultColWidth="10.1640625" defaultRowHeight="25" customHeight="1"/>
  <cols>
    <col min="1" max="1" width="6.1640625" style="32" customWidth="1"/>
    <col min="2" max="2" width="14.6640625" style="31" customWidth="1"/>
    <col min="3" max="3" width="36.1640625" style="31" customWidth="1"/>
    <col min="4" max="4" width="83.6640625" style="31" customWidth="1"/>
    <col min="5" max="5" width="10" style="32" customWidth="1"/>
    <col min="6" max="16384" width="10.1640625" style="32"/>
  </cols>
  <sheetData>
    <row r="1" spans="1:5" ht="25" customHeight="1">
      <c r="A1" s="13" t="s">
        <v>4</v>
      </c>
    </row>
    <row r="2" spans="1:5" s="38" customFormat="1" ht="25" customHeight="1">
      <c r="A2" s="33" t="s">
        <v>0</v>
      </c>
      <c r="B2" s="23" t="s">
        <v>5</v>
      </c>
      <c r="C2" s="33" t="s">
        <v>6</v>
      </c>
      <c r="D2" s="33" t="s">
        <v>7</v>
      </c>
      <c r="E2" s="23" t="s">
        <v>8</v>
      </c>
    </row>
    <row r="3" spans="1:5" ht="25" customHeight="1">
      <c r="A3" s="9">
        <f>ROW()-2</f>
        <v>1</v>
      </c>
      <c r="B3" s="68" t="s">
        <v>587</v>
      </c>
      <c r="C3" s="17" t="s">
        <v>588</v>
      </c>
      <c r="D3" s="17" t="s">
        <v>588</v>
      </c>
      <c r="E3" s="39"/>
    </row>
    <row r="4" spans="1:5" ht="25" customHeight="1">
      <c r="A4" s="9">
        <f t="shared" ref="A4:A12" si="0">ROW()-2</f>
        <v>2</v>
      </c>
      <c r="B4" s="69"/>
      <c r="C4" s="40" t="s">
        <v>589</v>
      </c>
      <c r="D4" s="40" t="s">
        <v>589</v>
      </c>
      <c r="E4" s="39"/>
    </row>
    <row r="5" spans="1:5" ht="25" customHeight="1">
      <c r="A5" s="9">
        <f t="shared" si="0"/>
        <v>3</v>
      </c>
      <c r="B5" s="69"/>
      <c r="C5" s="6" t="s">
        <v>590</v>
      </c>
      <c r="D5" s="6" t="s">
        <v>590</v>
      </c>
      <c r="E5" s="39"/>
    </row>
    <row r="6" spans="1:5" ht="25" customHeight="1">
      <c r="A6" s="9">
        <f t="shared" si="0"/>
        <v>4</v>
      </c>
      <c r="B6" s="69"/>
      <c r="C6" s="40" t="s">
        <v>591</v>
      </c>
      <c r="D6" s="40" t="s">
        <v>591</v>
      </c>
      <c r="E6" s="39"/>
    </row>
    <row r="7" spans="1:5" ht="25" customHeight="1">
      <c r="A7" s="9">
        <f t="shared" si="0"/>
        <v>5</v>
      </c>
      <c r="B7" s="69"/>
      <c r="C7" s="17" t="s">
        <v>592</v>
      </c>
      <c r="D7" s="4" t="s">
        <v>593</v>
      </c>
      <c r="E7" s="39"/>
    </row>
    <row r="8" spans="1:5" ht="25" customHeight="1">
      <c r="A8" s="9">
        <f t="shared" si="0"/>
        <v>6</v>
      </c>
      <c r="B8" s="69"/>
      <c r="C8" s="4" t="s">
        <v>594</v>
      </c>
      <c r="D8" s="4" t="s">
        <v>595</v>
      </c>
      <c r="E8" s="39"/>
    </row>
    <row r="9" spans="1:5" ht="25" customHeight="1">
      <c r="A9" s="9">
        <f t="shared" si="0"/>
        <v>7</v>
      </c>
      <c r="B9" s="69"/>
      <c r="C9" s="4" t="s">
        <v>596</v>
      </c>
      <c r="D9" s="4" t="s">
        <v>595</v>
      </c>
      <c r="E9" s="39"/>
    </row>
    <row r="10" spans="1:5" ht="25" customHeight="1">
      <c r="A10" s="9">
        <f t="shared" si="0"/>
        <v>8</v>
      </c>
      <c r="B10" s="69"/>
      <c r="C10" s="4" t="s">
        <v>597</v>
      </c>
      <c r="D10" s="4" t="s">
        <v>598</v>
      </c>
      <c r="E10" s="39"/>
    </row>
    <row r="11" spans="1:5" ht="25" customHeight="1">
      <c r="A11" s="9">
        <f t="shared" si="0"/>
        <v>9</v>
      </c>
      <c r="B11" s="69"/>
      <c r="C11" s="4" t="s">
        <v>599</v>
      </c>
      <c r="D11" s="4" t="s">
        <v>600</v>
      </c>
      <c r="E11" s="39"/>
    </row>
    <row r="12" spans="1:5" ht="25" customHeight="1">
      <c r="A12" s="9">
        <f t="shared" si="0"/>
        <v>10</v>
      </c>
      <c r="B12" s="69"/>
      <c r="C12" s="4" t="s">
        <v>601</v>
      </c>
      <c r="D12" s="4" t="s">
        <v>602</v>
      </c>
      <c r="E12" s="39"/>
    </row>
    <row r="13" spans="1:5" ht="25" customHeight="1">
      <c r="A13" s="9">
        <f t="shared" ref="A13:A44" si="1">ROW()-2</f>
        <v>11</v>
      </c>
      <c r="B13" s="69"/>
      <c r="C13" s="6" t="s">
        <v>603</v>
      </c>
      <c r="D13" s="6" t="s">
        <v>603</v>
      </c>
      <c r="E13" s="39"/>
    </row>
    <row r="14" spans="1:5" ht="25" customHeight="1">
      <c r="A14" s="9">
        <f t="shared" si="1"/>
        <v>12</v>
      </c>
      <c r="B14" s="69"/>
      <c r="C14" s="40" t="s">
        <v>604</v>
      </c>
      <c r="D14" s="40" t="s">
        <v>604</v>
      </c>
      <c r="E14" s="39"/>
    </row>
    <row r="15" spans="1:5" ht="25" customHeight="1">
      <c r="A15" s="9">
        <f t="shared" si="1"/>
        <v>13</v>
      </c>
      <c r="B15" s="69"/>
      <c r="C15" s="40" t="s">
        <v>605</v>
      </c>
      <c r="D15" s="40" t="s">
        <v>605</v>
      </c>
      <c r="E15" s="39"/>
    </row>
    <row r="16" spans="1:5" ht="25" customHeight="1">
      <c r="A16" s="9">
        <f t="shared" si="1"/>
        <v>14</v>
      </c>
      <c r="B16" s="69"/>
      <c r="C16" s="40" t="s">
        <v>606</v>
      </c>
      <c r="D16" s="40" t="s">
        <v>606</v>
      </c>
      <c r="E16" s="39"/>
    </row>
    <row r="17" spans="1:5" ht="25" customHeight="1">
      <c r="A17" s="9">
        <f t="shared" si="1"/>
        <v>15</v>
      </c>
      <c r="B17" s="69"/>
      <c r="C17" s="40" t="s">
        <v>607</v>
      </c>
      <c r="D17" s="40" t="s">
        <v>607</v>
      </c>
      <c r="E17" s="39"/>
    </row>
    <row r="18" spans="1:5" ht="25" customHeight="1">
      <c r="A18" s="9"/>
      <c r="B18" s="69"/>
      <c r="C18" s="40" t="s">
        <v>608</v>
      </c>
      <c r="D18" s="40" t="s">
        <v>608</v>
      </c>
      <c r="E18" s="39"/>
    </row>
    <row r="19" spans="1:5" ht="25" customHeight="1">
      <c r="A19" s="9">
        <f t="shared" si="1"/>
        <v>17</v>
      </c>
      <c r="B19" s="70"/>
      <c r="C19" s="40" t="s">
        <v>609</v>
      </c>
      <c r="D19" s="40" t="s">
        <v>610</v>
      </c>
      <c r="E19" s="39"/>
    </row>
    <row r="20" spans="1:5" ht="25" customHeight="1">
      <c r="A20" s="9">
        <f t="shared" si="1"/>
        <v>18</v>
      </c>
      <c r="B20" s="80" t="s">
        <v>611</v>
      </c>
      <c r="C20" s="6" t="s">
        <v>612</v>
      </c>
      <c r="D20" s="17" t="s">
        <v>612</v>
      </c>
      <c r="E20" s="39"/>
    </row>
    <row r="21" spans="1:5" ht="25" customHeight="1">
      <c r="A21" s="9">
        <f t="shared" si="1"/>
        <v>19</v>
      </c>
      <c r="B21" s="81"/>
      <c r="C21" s="6" t="s">
        <v>613</v>
      </c>
      <c r="D21" s="104"/>
      <c r="E21" s="39"/>
    </row>
    <row r="22" spans="1:5" ht="25" customHeight="1">
      <c r="A22" s="9">
        <f t="shared" si="1"/>
        <v>20</v>
      </c>
      <c r="B22" s="81"/>
      <c r="C22" s="6" t="s">
        <v>614</v>
      </c>
      <c r="D22" s="104"/>
      <c r="E22" s="39"/>
    </row>
    <row r="23" spans="1:5" ht="25" customHeight="1">
      <c r="A23" s="9">
        <f t="shared" si="1"/>
        <v>21</v>
      </c>
      <c r="B23" s="81"/>
      <c r="C23" s="6" t="s">
        <v>615</v>
      </c>
      <c r="D23" s="17"/>
      <c r="E23" s="39"/>
    </row>
    <row r="24" spans="1:5" ht="25" customHeight="1">
      <c r="A24" s="9">
        <f t="shared" si="1"/>
        <v>22</v>
      </c>
      <c r="B24" s="81"/>
      <c r="C24" s="4" t="s">
        <v>616</v>
      </c>
      <c r="D24" s="4" t="s">
        <v>617</v>
      </c>
      <c r="E24" s="39"/>
    </row>
    <row r="25" spans="1:5" ht="25" customHeight="1">
      <c r="A25" s="9">
        <f t="shared" si="1"/>
        <v>23</v>
      </c>
      <c r="B25" s="82"/>
      <c r="C25" s="4" t="s">
        <v>618</v>
      </c>
      <c r="D25" s="4" t="s">
        <v>619</v>
      </c>
      <c r="E25" s="39"/>
    </row>
    <row r="26" spans="1:5" ht="25" customHeight="1">
      <c r="A26" s="9">
        <f t="shared" si="1"/>
        <v>24</v>
      </c>
      <c r="B26" s="80" t="s">
        <v>620</v>
      </c>
      <c r="C26" s="4" t="s">
        <v>621</v>
      </c>
      <c r="D26" s="4" t="s">
        <v>622</v>
      </c>
      <c r="E26" s="39"/>
    </row>
    <row r="27" spans="1:5" ht="25" customHeight="1">
      <c r="A27" s="9">
        <f t="shared" si="1"/>
        <v>25</v>
      </c>
      <c r="B27" s="81"/>
      <c r="C27" s="4" t="s">
        <v>597</v>
      </c>
      <c r="D27" s="4" t="s">
        <v>623</v>
      </c>
      <c r="E27" s="39"/>
    </row>
    <row r="28" spans="1:5" ht="25" customHeight="1">
      <c r="A28" s="9">
        <f t="shared" si="1"/>
        <v>26</v>
      </c>
      <c r="B28" s="81"/>
      <c r="C28" s="4" t="s">
        <v>624</v>
      </c>
      <c r="D28" s="4" t="s">
        <v>625</v>
      </c>
      <c r="E28" s="39"/>
    </row>
    <row r="29" spans="1:5" ht="25" customHeight="1">
      <c r="A29" s="9">
        <f t="shared" si="1"/>
        <v>27</v>
      </c>
      <c r="B29" s="81"/>
      <c r="C29" s="40" t="s">
        <v>626</v>
      </c>
      <c r="D29" s="40" t="s">
        <v>626</v>
      </c>
      <c r="E29" s="39"/>
    </row>
    <row r="30" spans="1:5" ht="25" customHeight="1">
      <c r="A30" s="9">
        <f t="shared" si="1"/>
        <v>28</v>
      </c>
      <c r="B30" s="81"/>
      <c r="C30" s="40" t="s">
        <v>624</v>
      </c>
      <c r="D30" s="40" t="s">
        <v>624</v>
      </c>
      <c r="E30" s="39"/>
    </row>
    <row r="31" spans="1:5" ht="25" customHeight="1">
      <c r="A31" s="9">
        <f t="shared" si="1"/>
        <v>29</v>
      </c>
      <c r="B31" s="81"/>
      <c r="C31" s="40" t="s">
        <v>594</v>
      </c>
      <c r="D31" s="40" t="s">
        <v>594</v>
      </c>
      <c r="E31" s="39"/>
    </row>
    <row r="32" spans="1:5" ht="25" customHeight="1">
      <c r="A32" s="9">
        <f t="shared" si="1"/>
        <v>30</v>
      </c>
      <c r="B32" s="81"/>
      <c r="C32" s="40" t="s">
        <v>596</v>
      </c>
      <c r="D32" s="40" t="s">
        <v>596</v>
      </c>
      <c r="E32" s="39"/>
    </row>
    <row r="33" spans="1:5" ht="25" customHeight="1">
      <c r="A33" s="9">
        <f t="shared" si="1"/>
        <v>31</v>
      </c>
      <c r="B33" s="81"/>
      <c r="C33" s="40" t="s">
        <v>597</v>
      </c>
      <c r="D33" s="40" t="s">
        <v>597</v>
      </c>
      <c r="E33" s="39"/>
    </row>
    <row r="34" spans="1:5" ht="25" customHeight="1">
      <c r="A34" s="9">
        <f t="shared" si="1"/>
        <v>32</v>
      </c>
      <c r="B34" s="81"/>
      <c r="C34" s="40" t="s">
        <v>599</v>
      </c>
      <c r="D34" s="40" t="s">
        <v>599</v>
      </c>
      <c r="E34" s="39"/>
    </row>
    <row r="35" spans="1:5" ht="25" customHeight="1">
      <c r="A35" s="9">
        <f t="shared" si="1"/>
        <v>33</v>
      </c>
      <c r="B35" s="82"/>
      <c r="C35" s="40" t="s">
        <v>627</v>
      </c>
      <c r="D35" s="40" t="s">
        <v>627</v>
      </c>
      <c r="E35" s="39"/>
    </row>
    <row r="36" spans="1:5" ht="25" customHeight="1">
      <c r="A36" s="9">
        <f t="shared" si="1"/>
        <v>34</v>
      </c>
      <c r="B36" s="87" t="s">
        <v>628</v>
      </c>
      <c r="C36" s="41" t="s">
        <v>629</v>
      </c>
      <c r="D36" s="10" t="s">
        <v>630</v>
      </c>
      <c r="E36" s="39"/>
    </row>
    <row r="37" spans="1:5" ht="25" customHeight="1">
      <c r="A37" s="9">
        <f t="shared" si="1"/>
        <v>35</v>
      </c>
      <c r="B37" s="89"/>
      <c r="C37" s="41" t="s">
        <v>631</v>
      </c>
      <c r="D37" s="25" t="s">
        <v>632</v>
      </c>
      <c r="E37" s="39"/>
    </row>
    <row r="38" spans="1:5" ht="25" customHeight="1">
      <c r="A38" s="9">
        <f t="shared" si="1"/>
        <v>36</v>
      </c>
      <c r="B38" s="89"/>
      <c r="C38" s="41" t="s">
        <v>633</v>
      </c>
      <c r="D38" s="10" t="s">
        <v>634</v>
      </c>
      <c r="E38" s="39"/>
    </row>
    <row r="39" spans="1:5" ht="25" customHeight="1">
      <c r="A39" s="9">
        <f t="shared" si="1"/>
        <v>37</v>
      </c>
      <c r="B39" s="89"/>
      <c r="C39" s="4" t="s">
        <v>635</v>
      </c>
      <c r="D39" s="4" t="s">
        <v>636</v>
      </c>
      <c r="E39" s="39"/>
    </row>
    <row r="40" spans="1:5" s="26" customFormat="1" ht="25" customHeight="1">
      <c r="A40" s="9">
        <f t="shared" si="1"/>
        <v>38</v>
      </c>
      <c r="B40" s="89"/>
      <c r="C40" s="25" t="s">
        <v>637</v>
      </c>
      <c r="D40" s="25" t="s">
        <v>637</v>
      </c>
      <c r="E40" s="39"/>
    </row>
    <row r="41" spans="1:5" s="26" customFormat="1" ht="25" customHeight="1">
      <c r="A41" s="9">
        <f t="shared" si="1"/>
        <v>39</v>
      </c>
      <c r="B41" s="89"/>
      <c r="C41" s="25" t="s">
        <v>638</v>
      </c>
      <c r="D41" s="25" t="s">
        <v>638</v>
      </c>
      <c r="E41" s="39"/>
    </row>
    <row r="42" spans="1:5" ht="25" customHeight="1">
      <c r="A42" s="9">
        <f t="shared" si="1"/>
        <v>40</v>
      </c>
      <c r="B42" s="89"/>
      <c r="C42" s="41" t="s">
        <v>639</v>
      </c>
      <c r="D42" s="25" t="s">
        <v>640</v>
      </c>
      <c r="E42" s="39"/>
    </row>
    <row r="43" spans="1:5" ht="25" customHeight="1">
      <c r="A43" s="9">
        <f t="shared" si="1"/>
        <v>41</v>
      </c>
      <c r="B43" s="88"/>
      <c r="C43" s="41" t="s">
        <v>641</v>
      </c>
      <c r="D43" s="25" t="s">
        <v>642</v>
      </c>
      <c r="E43" s="39"/>
    </row>
    <row r="44" spans="1:5" s="26" customFormat="1" ht="29" customHeight="1">
      <c r="A44" s="9">
        <f t="shared" si="1"/>
        <v>42</v>
      </c>
      <c r="B44" s="4" t="s">
        <v>643</v>
      </c>
      <c r="C44" s="25" t="s">
        <v>644</v>
      </c>
      <c r="D44" s="25" t="s">
        <v>645</v>
      </c>
      <c r="E44" s="39"/>
    </row>
  </sheetData>
  <mergeCells count="5">
    <mergeCell ref="B3:B19"/>
    <mergeCell ref="B20:B25"/>
    <mergeCell ref="B26:B35"/>
    <mergeCell ref="B36:B43"/>
    <mergeCell ref="D21:D22"/>
  </mergeCells>
  <phoneticPr fontId="16" type="noConversion"/>
  <hyperlinks>
    <hyperlink ref="A1" location="目录!A1" display="返回" xr:uid="{00000000-0004-0000-12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D49"/>
  <sheetViews>
    <sheetView workbookViewId="0">
      <pane ySplit="2" topLeftCell="A25" activePane="bottomLeft" state="frozen"/>
      <selection pane="bottomLeft" activeCell="D20" sqref="D20"/>
    </sheetView>
  </sheetViews>
  <sheetFormatPr baseColWidth="10" defaultColWidth="9" defaultRowHeight="20" customHeight="1"/>
  <cols>
    <col min="1" max="1" width="6.83203125" style="7" customWidth="1"/>
    <col min="2" max="2" width="26.83203125" style="16" customWidth="1"/>
    <col min="3" max="3" width="77" style="16" customWidth="1"/>
    <col min="4" max="4" width="29.6640625" style="2" customWidth="1"/>
    <col min="5" max="16384" width="9" style="2"/>
  </cols>
  <sheetData>
    <row r="1" spans="1:4" ht="20" customHeight="1">
      <c r="A1" s="13" t="s">
        <v>4</v>
      </c>
    </row>
    <row r="2" spans="1:4" s="35" customFormat="1" ht="20" customHeight="1">
      <c r="A2" s="23" t="s">
        <v>0</v>
      </c>
      <c r="B2" s="23" t="s">
        <v>5</v>
      </c>
      <c r="C2" s="23" t="s">
        <v>6</v>
      </c>
    </row>
    <row r="3" spans="1:4" ht="20" customHeight="1">
      <c r="A3" s="3">
        <f>ROW()-2</f>
        <v>1</v>
      </c>
      <c r="B3" s="105" t="s">
        <v>646</v>
      </c>
      <c r="C3" s="36" t="s">
        <v>647</v>
      </c>
    </row>
    <row r="4" spans="1:4" ht="20" customHeight="1">
      <c r="A4" s="3">
        <f t="shared" ref="A4:A13" si="0">ROW()-2</f>
        <v>2</v>
      </c>
      <c r="B4" s="105"/>
      <c r="C4" s="36" t="s">
        <v>648</v>
      </c>
    </row>
    <row r="5" spans="1:4" ht="20" customHeight="1">
      <c r="A5" s="3">
        <f t="shared" si="0"/>
        <v>3</v>
      </c>
      <c r="B5" s="105"/>
      <c r="C5" s="36" t="s">
        <v>649</v>
      </c>
    </row>
    <row r="6" spans="1:4" ht="20" customHeight="1">
      <c r="A6" s="3">
        <f t="shared" si="0"/>
        <v>4</v>
      </c>
      <c r="B6" s="105"/>
      <c r="C6" s="36" t="s">
        <v>650</v>
      </c>
    </row>
    <row r="7" spans="1:4" ht="20" customHeight="1">
      <c r="A7" s="3">
        <f t="shared" si="0"/>
        <v>5</v>
      </c>
      <c r="B7" s="105"/>
      <c r="C7" s="36" t="s">
        <v>651</v>
      </c>
    </row>
    <row r="8" spans="1:4" ht="20" customHeight="1">
      <c r="A8" s="3">
        <f t="shared" si="0"/>
        <v>6</v>
      </c>
      <c r="B8" s="105" t="s">
        <v>652</v>
      </c>
      <c r="C8" s="36" t="s">
        <v>653</v>
      </c>
    </row>
    <row r="9" spans="1:4" ht="20" customHeight="1">
      <c r="A9" s="3">
        <f t="shared" si="0"/>
        <v>7</v>
      </c>
      <c r="B9" s="105"/>
      <c r="C9" s="36" t="s">
        <v>654</v>
      </c>
    </row>
    <row r="10" spans="1:4" ht="20" customHeight="1">
      <c r="A10" s="3">
        <f t="shared" si="0"/>
        <v>8</v>
      </c>
      <c r="B10" s="105" t="s">
        <v>655</v>
      </c>
      <c r="C10" s="36" t="s">
        <v>656</v>
      </c>
    </row>
    <row r="11" spans="1:4" ht="20" customHeight="1">
      <c r="A11" s="3">
        <f t="shared" si="0"/>
        <v>9</v>
      </c>
      <c r="B11" s="105"/>
      <c r="C11" s="36" t="s">
        <v>657</v>
      </c>
    </row>
    <row r="12" spans="1:4" ht="20" customHeight="1">
      <c r="A12" s="3">
        <f t="shared" si="0"/>
        <v>10</v>
      </c>
      <c r="B12" s="105"/>
      <c r="C12" s="36" t="s">
        <v>658</v>
      </c>
    </row>
    <row r="13" spans="1:4" ht="20" customHeight="1">
      <c r="A13" s="3">
        <f t="shared" si="0"/>
        <v>11</v>
      </c>
      <c r="B13" s="105"/>
      <c r="C13" s="36" t="s">
        <v>659</v>
      </c>
    </row>
    <row r="14" spans="1:4" ht="20" customHeight="1">
      <c r="A14" s="3">
        <f t="shared" ref="A14:A23" si="1">ROW()-2</f>
        <v>12</v>
      </c>
      <c r="B14" s="105"/>
      <c r="C14" s="36" t="s">
        <v>660</v>
      </c>
    </row>
    <row r="15" spans="1:4" ht="20" customHeight="1">
      <c r="A15" s="3">
        <f t="shared" si="1"/>
        <v>13</v>
      </c>
      <c r="B15" s="105" t="s">
        <v>661</v>
      </c>
      <c r="C15" s="36" t="s">
        <v>661</v>
      </c>
      <c r="D15" s="37"/>
    </row>
    <row r="16" spans="1:4" ht="20" customHeight="1">
      <c r="A16" s="3">
        <f t="shared" si="1"/>
        <v>14</v>
      </c>
      <c r="B16" s="105"/>
      <c r="C16" s="36" t="s">
        <v>662</v>
      </c>
      <c r="D16" s="37"/>
    </row>
    <row r="17" spans="1:4" ht="20" customHeight="1">
      <c r="A17" s="3">
        <f t="shared" si="1"/>
        <v>15</v>
      </c>
      <c r="B17" s="105"/>
      <c r="C17" s="36" t="s">
        <v>663</v>
      </c>
      <c r="D17" s="37"/>
    </row>
    <row r="18" spans="1:4" ht="20" customHeight="1">
      <c r="A18" s="3">
        <f t="shared" si="1"/>
        <v>16</v>
      </c>
      <c r="B18" s="105"/>
      <c r="C18" s="36" t="s">
        <v>664</v>
      </c>
    </row>
    <row r="19" spans="1:4" ht="20" customHeight="1">
      <c r="A19" s="3">
        <f t="shared" si="1"/>
        <v>17</v>
      </c>
      <c r="B19" s="105"/>
      <c r="C19" s="36" t="s">
        <v>665</v>
      </c>
    </row>
    <row r="20" spans="1:4" ht="20" customHeight="1">
      <c r="A20" s="3">
        <f t="shared" si="1"/>
        <v>18</v>
      </c>
      <c r="B20" s="105"/>
      <c r="C20" s="36" t="s">
        <v>666</v>
      </c>
    </row>
    <row r="21" spans="1:4" ht="20" customHeight="1">
      <c r="A21" s="3">
        <f t="shared" si="1"/>
        <v>19</v>
      </c>
      <c r="B21" s="105"/>
      <c r="C21" s="36" t="s">
        <v>667</v>
      </c>
    </row>
    <row r="22" spans="1:4" ht="20" customHeight="1">
      <c r="A22" s="3">
        <f t="shared" si="1"/>
        <v>20</v>
      </c>
      <c r="B22" s="105"/>
      <c r="C22" s="36" t="s">
        <v>668</v>
      </c>
    </row>
    <row r="23" spans="1:4" ht="20" customHeight="1">
      <c r="A23" s="3">
        <f t="shared" si="1"/>
        <v>21</v>
      </c>
      <c r="B23" s="105"/>
      <c r="C23" s="36" t="s">
        <v>669</v>
      </c>
    </row>
    <row r="24" spans="1:4" ht="20" customHeight="1">
      <c r="A24" s="3">
        <f t="shared" ref="A24:A33" si="2">ROW()-2</f>
        <v>22</v>
      </c>
      <c r="B24" s="105"/>
      <c r="C24" s="36" t="s">
        <v>670</v>
      </c>
    </row>
    <row r="25" spans="1:4" ht="20" customHeight="1">
      <c r="A25" s="3">
        <f t="shared" si="2"/>
        <v>23</v>
      </c>
      <c r="B25" s="105"/>
      <c r="C25" s="36" t="s">
        <v>671</v>
      </c>
    </row>
    <row r="26" spans="1:4" ht="20" customHeight="1">
      <c r="A26" s="3">
        <f t="shared" si="2"/>
        <v>24</v>
      </c>
      <c r="B26" s="105"/>
      <c r="C26" s="36" t="s">
        <v>672</v>
      </c>
    </row>
    <row r="27" spans="1:4" ht="20" customHeight="1">
      <c r="A27" s="3">
        <f t="shared" si="2"/>
        <v>25</v>
      </c>
      <c r="B27" s="105"/>
      <c r="C27" s="36" t="s">
        <v>673</v>
      </c>
    </row>
    <row r="28" spans="1:4" ht="20" customHeight="1">
      <c r="A28" s="3">
        <f t="shared" si="2"/>
        <v>26</v>
      </c>
      <c r="B28" s="105"/>
      <c r="C28" s="36" t="s">
        <v>674</v>
      </c>
    </row>
    <row r="29" spans="1:4" ht="20" customHeight="1">
      <c r="A29" s="3">
        <f t="shared" si="2"/>
        <v>27</v>
      </c>
      <c r="B29" s="105"/>
      <c r="C29" s="36" t="s">
        <v>675</v>
      </c>
    </row>
    <row r="30" spans="1:4" ht="17">
      <c r="A30" s="3">
        <f t="shared" si="2"/>
        <v>28</v>
      </c>
      <c r="B30" s="105"/>
      <c r="C30" s="36" t="s">
        <v>676</v>
      </c>
    </row>
    <row r="31" spans="1:4" ht="20" customHeight="1">
      <c r="A31" s="3">
        <f t="shared" si="2"/>
        <v>29</v>
      </c>
      <c r="B31" s="105"/>
      <c r="C31" s="36" t="s">
        <v>677</v>
      </c>
    </row>
    <row r="32" spans="1:4" ht="20" customHeight="1">
      <c r="A32" s="3">
        <f t="shared" si="2"/>
        <v>30</v>
      </c>
      <c r="B32" s="105"/>
      <c r="C32" s="36" t="s">
        <v>678</v>
      </c>
    </row>
    <row r="33" spans="1:3" ht="20" customHeight="1">
      <c r="A33" s="3">
        <f t="shared" si="2"/>
        <v>31</v>
      </c>
      <c r="B33" s="105"/>
      <c r="C33" s="36" t="s">
        <v>679</v>
      </c>
    </row>
    <row r="34" spans="1:3" ht="20" customHeight="1">
      <c r="A34" s="3">
        <f t="shared" ref="A34:A43" si="3">ROW()-2</f>
        <v>32</v>
      </c>
      <c r="B34" s="105"/>
      <c r="C34" s="36" t="s">
        <v>680</v>
      </c>
    </row>
    <row r="35" spans="1:3" ht="20" customHeight="1">
      <c r="A35" s="3">
        <f t="shared" si="3"/>
        <v>33</v>
      </c>
      <c r="B35" s="105"/>
      <c r="C35" s="36" t="s">
        <v>681</v>
      </c>
    </row>
    <row r="36" spans="1:3" ht="20" customHeight="1">
      <c r="A36" s="3">
        <f t="shared" si="3"/>
        <v>34</v>
      </c>
      <c r="B36" s="105"/>
      <c r="C36" s="36" t="s">
        <v>682</v>
      </c>
    </row>
    <row r="37" spans="1:3" ht="20" customHeight="1">
      <c r="A37" s="3">
        <f t="shared" si="3"/>
        <v>35</v>
      </c>
      <c r="B37" s="105" t="s">
        <v>683</v>
      </c>
      <c r="C37" s="36" t="s">
        <v>684</v>
      </c>
    </row>
    <row r="38" spans="1:3" ht="20" customHeight="1">
      <c r="A38" s="3">
        <f t="shared" si="3"/>
        <v>36</v>
      </c>
      <c r="B38" s="105"/>
      <c r="C38" s="36" t="s">
        <v>685</v>
      </c>
    </row>
    <row r="39" spans="1:3" ht="20" customHeight="1">
      <c r="A39" s="3">
        <f t="shared" si="3"/>
        <v>37</v>
      </c>
      <c r="B39" s="105"/>
      <c r="C39" s="36" t="s">
        <v>686</v>
      </c>
    </row>
    <row r="40" spans="1:3" ht="20" customHeight="1">
      <c r="A40" s="3">
        <f t="shared" si="3"/>
        <v>38</v>
      </c>
      <c r="B40" s="105"/>
      <c r="C40" s="36" t="s">
        <v>687</v>
      </c>
    </row>
    <row r="41" spans="1:3" ht="20" customHeight="1">
      <c r="A41" s="3">
        <f t="shared" si="3"/>
        <v>39</v>
      </c>
      <c r="B41" s="105"/>
      <c r="C41" s="36" t="s">
        <v>688</v>
      </c>
    </row>
    <row r="42" spans="1:3" ht="20" customHeight="1">
      <c r="A42" s="3">
        <f t="shared" si="3"/>
        <v>40</v>
      </c>
      <c r="B42" s="105"/>
      <c r="C42" s="36" t="s">
        <v>689</v>
      </c>
    </row>
    <row r="43" spans="1:3" ht="20" customHeight="1">
      <c r="A43" s="3">
        <f t="shared" si="3"/>
        <v>41</v>
      </c>
      <c r="B43" s="105"/>
      <c r="C43" s="36" t="s">
        <v>690</v>
      </c>
    </row>
    <row r="44" spans="1:3" ht="20" customHeight="1">
      <c r="A44" s="3">
        <f t="shared" ref="A44:A49" si="4">ROW()-2</f>
        <v>42</v>
      </c>
      <c r="B44" s="105"/>
      <c r="C44" s="36" t="s">
        <v>691</v>
      </c>
    </row>
    <row r="45" spans="1:3" ht="20" customHeight="1">
      <c r="A45" s="3">
        <f t="shared" si="4"/>
        <v>43</v>
      </c>
      <c r="B45" s="105" t="s">
        <v>692</v>
      </c>
      <c r="C45" s="36" t="s">
        <v>693</v>
      </c>
    </row>
    <row r="46" spans="1:3" ht="20" customHeight="1">
      <c r="A46" s="3">
        <f t="shared" si="4"/>
        <v>44</v>
      </c>
      <c r="B46" s="105"/>
      <c r="C46" s="36" t="s">
        <v>694</v>
      </c>
    </row>
    <row r="47" spans="1:3" ht="20" customHeight="1">
      <c r="A47" s="3">
        <f t="shared" si="4"/>
        <v>45</v>
      </c>
      <c r="B47" s="105"/>
      <c r="C47" s="36" t="s">
        <v>695</v>
      </c>
    </row>
    <row r="48" spans="1:3" ht="20" customHeight="1">
      <c r="A48" s="3">
        <f t="shared" si="4"/>
        <v>46</v>
      </c>
      <c r="B48" s="105"/>
      <c r="C48" s="36" t="s">
        <v>696</v>
      </c>
    </row>
    <row r="49" spans="1:3" ht="20" customHeight="1">
      <c r="A49" s="3">
        <f t="shared" si="4"/>
        <v>47</v>
      </c>
      <c r="B49" s="105"/>
      <c r="C49" s="36" t="s">
        <v>697</v>
      </c>
    </row>
  </sheetData>
  <mergeCells count="6">
    <mergeCell ref="B45:B49"/>
    <mergeCell ref="B3:B7"/>
    <mergeCell ref="B8:B9"/>
    <mergeCell ref="B10:B14"/>
    <mergeCell ref="B15:B36"/>
    <mergeCell ref="B37:B44"/>
  </mergeCells>
  <phoneticPr fontId="16" type="noConversion"/>
  <hyperlinks>
    <hyperlink ref="A1" location="目录!A1" display="返回" xr:uid="{00000000-0004-0000-19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财务指标</vt:lpstr>
      <vt:lpstr>资金管理</vt:lpstr>
      <vt:lpstr>司库</vt:lpstr>
      <vt:lpstr>投资管理</vt:lpstr>
      <vt:lpstr>经营管理</vt:lpstr>
      <vt:lpstr>薪酬管理</vt:lpstr>
      <vt:lpstr>预算管理</vt:lpstr>
      <vt:lpstr>证券行业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JunXu</cp:lastModifiedBy>
  <dcterms:created xsi:type="dcterms:W3CDTF">2020-08-23T15:32:00Z</dcterms:created>
  <dcterms:modified xsi:type="dcterms:W3CDTF">2026-09-21T00:23:20Z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0D99C976A9624B0FA3C8270505920C8B</vt:lpwstr>
  </property>
  <property fmtid="{D5CDD505-2E9C-101B-9397-08002B2CF9AE}" pid="4" name="CalculationRule">
    <vt:i4>0</vt:i4>
  </property>
</Properties>
</file>